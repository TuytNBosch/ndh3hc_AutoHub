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ustomProperty4.bin" ContentType="application/vnd.openxmlformats-officedocument.spreadsheetml.customProperty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J1YH\Desktop\RACE\"/>
    </mc:Choice>
  </mc:AlternateContent>
  <xr:revisionPtr revIDLastSave="0" documentId="13_ncr:1_{ADECD63B-4522-42D4-AAD8-AA8B110D84E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hanged history" sheetId="7" r:id="rId1"/>
    <sheet name="MP1" sheetId="9" r:id="rId2"/>
    <sheet name="MPx Instruction" sheetId="8" r:id="rId3"/>
    <sheet name="old MPx" sheetId="5" r:id="rId4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8" i="9" l="1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X22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X21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22" i="7"/>
  <c r="G2" i="7"/>
  <c r="B22" i="7"/>
  <c r="D22" i="7"/>
  <c r="AM1" i="9" l="1"/>
  <c r="AP3" i="9"/>
  <c r="AQ3" i="9"/>
  <c r="AR3" i="9"/>
  <c r="AR3" i="8"/>
  <c r="AQ3" i="8"/>
  <c r="AP3" i="8"/>
  <c r="X18" i="8"/>
  <c r="X20" i="8"/>
  <c r="X19" i="8"/>
  <c r="AM1" i="8" l="1"/>
  <c r="V2" i="5"/>
  <c r="R1" i="5"/>
</calcChain>
</file>

<file path=xl/sharedStrings.xml><?xml version="1.0" encoding="utf-8"?>
<sst xmlns="http://schemas.openxmlformats.org/spreadsheetml/2006/main" count="371" uniqueCount="180">
  <si>
    <t>Master file storage</t>
    <phoneticPr fontId="3"/>
  </si>
  <si>
    <t>Remark</t>
    <phoneticPr fontId="3"/>
  </si>
  <si>
    <t>FSW</t>
  </si>
  <si>
    <t>ECR</t>
  </si>
  <si>
    <t>Bosch ECU P/N</t>
  </si>
  <si>
    <t>Sales Input</t>
  </si>
  <si>
    <t>-</t>
    <phoneticPr fontId="3"/>
  </si>
  <si>
    <t>M6/6A</t>
    <phoneticPr fontId="3"/>
  </si>
  <si>
    <t>M6/6A</t>
    <phoneticPr fontId="3"/>
  </si>
  <si>
    <t>M6</t>
    <phoneticPr fontId="3"/>
  </si>
  <si>
    <t>M6</t>
  </si>
  <si>
    <t>HONDA DWG. No.</t>
    <phoneticPr fontId="3"/>
  </si>
  <si>
    <t>HONDA Parts No.</t>
    <phoneticPr fontId="3"/>
  </si>
  <si>
    <t>66V</t>
  </si>
  <si>
    <t>66V</t>
    <phoneticPr fontId="3"/>
  </si>
  <si>
    <t>ZZ12</t>
    <phoneticPr fontId="3"/>
  </si>
  <si>
    <t>ZY12</t>
    <phoneticPr fontId="3"/>
  </si>
  <si>
    <t>ZX12</t>
    <phoneticPr fontId="3"/>
  </si>
  <si>
    <t>https://sites.inside-share3.bosch.com/sites/107525/Documents/Common/08_Drawings/04_MED1793/22_66VA_2YN-R/04_MP3_MP2/03_PN_Info/HM</t>
    <phoneticPr fontId="3"/>
  </si>
  <si>
    <t>A030</t>
    <phoneticPr fontId="3"/>
  </si>
  <si>
    <t>Q030</t>
    <phoneticPr fontId="3"/>
  </si>
  <si>
    <t>K030</t>
    <phoneticPr fontId="3"/>
  </si>
  <si>
    <t>K130</t>
    <phoneticPr fontId="3"/>
  </si>
  <si>
    <t>J030</t>
    <phoneticPr fontId="3"/>
  </si>
  <si>
    <t>U030</t>
    <phoneticPr fontId="3"/>
  </si>
  <si>
    <t>Z030</t>
    <phoneticPr fontId="3"/>
  </si>
  <si>
    <t>E030</t>
    <phoneticPr fontId="3"/>
  </si>
  <si>
    <t>B030</t>
    <phoneticPr fontId="3"/>
  </si>
  <si>
    <t>W030</t>
    <phoneticPr fontId="3"/>
  </si>
  <si>
    <t>H030</t>
    <phoneticPr fontId="3"/>
  </si>
  <si>
    <t>M030</t>
    <phoneticPr fontId="3"/>
  </si>
  <si>
    <t>Y030</t>
    <phoneticPr fontId="3"/>
  </si>
  <si>
    <t>R030</t>
    <phoneticPr fontId="3"/>
  </si>
  <si>
    <t>0261S106WJ</t>
    <phoneticPr fontId="3"/>
  </si>
  <si>
    <t>0261S106WK</t>
    <phoneticPr fontId="3"/>
  </si>
  <si>
    <t>0261S106WL</t>
    <phoneticPr fontId="3"/>
  </si>
  <si>
    <t>0261S106WM</t>
    <phoneticPr fontId="3"/>
  </si>
  <si>
    <t>0261S106WN</t>
    <phoneticPr fontId="3"/>
  </si>
  <si>
    <t>0261S106WP</t>
    <phoneticPr fontId="3"/>
  </si>
  <si>
    <t>0261S106WR</t>
    <phoneticPr fontId="3"/>
  </si>
  <si>
    <t>0261S106WS</t>
    <phoneticPr fontId="3"/>
  </si>
  <si>
    <t>0261S106WT</t>
    <phoneticPr fontId="3"/>
  </si>
  <si>
    <t>0261S106WU</t>
    <phoneticPr fontId="3"/>
  </si>
  <si>
    <t>0261S106WV</t>
    <phoneticPr fontId="3"/>
  </si>
  <si>
    <t>0261S106WW</t>
    <phoneticPr fontId="3"/>
  </si>
  <si>
    <t>0261S106WX</t>
    <phoneticPr fontId="3"/>
  </si>
  <si>
    <t>0261S106WY</t>
    <phoneticPr fontId="3"/>
  </si>
  <si>
    <t>*Copy base are 66VA MP2(KAKC), MP1-2(except KAKC)</t>
    <phoneticPr fontId="3"/>
  </si>
  <si>
    <t xml:space="preserve"> </t>
  </si>
  <si>
    <t>0261S107J3 / 0261B009FB-00</t>
  </si>
  <si>
    <t>0261S107J4 / 0261B009FC-00</t>
  </si>
  <si>
    <t>0261S107J5 / 0261B009FD-00</t>
  </si>
  <si>
    <t>0261S107J6 / 0261B009FE-00</t>
  </si>
  <si>
    <t>0261S107J7 / 0261B009FF-00</t>
  </si>
  <si>
    <t>0261S107J9 / 0261B009FH-00</t>
  </si>
  <si>
    <t>0261S107JA / 0261B009FJ-00</t>
  </si>
  <si>
    <t>0261S107JB / 0261B009FK-00</t>
  </si>
  <si>
    <t>0261S107JC / 0261B009FL-00</t>
  </si>
  <si>
    <t>0261S107JD / 0261B009FM-00</t>
  </si>
  <si>
    <t>0261S107JF / 0261B009FP-00</t>
  </si>
  <si>
    <t>0261S107JG / 0261B009FR-00</t>
  </si>
  <si>
    <r>
      <t>&lt;Purpose&gt;
HM 4MOC requested to issue the MP3 and MP2 for MED17.9.3 66VA.
Base file:2YN-R_SYSTEM_MATRIX_</t>
    </r>
    <r>
      <rPr>
        <sz val="9"/>
        <rFont val="Segoe UI Symbol"/>
        <family val="2"/>
      </rPr>
      <t>△</t>
    </r>
    <r>
      <rPr>
        <sz val="9"/>
        <rFont val="Consolas"/>
        <family val="3"/>
      </rPr>
      <t xml:space="preserve">31.xlsx
</t>
    </r>
    <phoneticPr fontId="3"/>
  </si>
  <si>
    <r>
      <t xml:space="preserve">Predecessor
Bosch ECU P/N
</t>
    </r>
    <r>
      <rPr>
        <b/>
        <sz val="11"/>
        <color rgb="FFFF0000"/>
        <rFont val="Consolas"/>
        <family val="3"/>
      </rPr>
      <t>Copy Base BOM</t>
    </r>
  </si>
  <si>
    <r>
      <t xml:space="preserve">MED17.9.3 </t>
    </r>
    <r>
      <rPr>
        <b/>
        <sz val="11"/>
        <rFont val="Consolas"/>
        <family val="3"/>
      </rPr>
      <t>66VA MP3</t>
    </r>
    <phoneticPr fontId="3"/>
  </si>
  <si>
    <r>
      <t xml:space="preserve">MED17.9.3 </t>
    </r>
    <r>
      <rPr>
        <b/>
        <sz val="11"/>
        <rFont val="Consolas"/>
        <family val="3"/>
      </rPr>
      <t>66VA MP2</t>
    </r>
    <phoneticPr fontId="3"/>
  </si>
  <si>
    <r>
      <t>MED17.9.3</t>
    </r>
    <r>
      <rPr>
        <b/>
        <sz val="11"/>
        <rFont val="Consolas"/>
        <family val="3"/>
      </rPr>
      <t xml:space="preserve"> 66VA MP2</t>
    </r>
    <phoneticPr fontId="3"/>
  </si>
  <si>
    <t>Version</t>
  </si>
  <si>
    <t>Date</t>
  </si>
  <si>
    <t>Template Change history</t>
    <phoneticPr fontId="3"/>
  </si>
  <si>
    <t>Edit by</t>
    <phoneticPr fontId="3"/>
  </si>
  <si>
    <t>Check by</t>
    <phoneticPr fontId="3"/>
  </si>
  <si>
    <t>Approve by</t>
    <phoneticPr fontId="3"/>
  </si>
  <si>
    <t>PS-EC/ECG3-JP Matsuoka</t>
    <phoneticPr fontId="3"/>
  </si>
  <si>
    <t>Change history</t>
  </si>
  <si>
    <t>V01</t>
    <phoneticPr fontId="3"/>
  </si>
  <si>
    <t>Template revision</t>
    <phoneticPr fontId="3"/>
  </si>
  <si>
    <t>Revision</t>
    <phoneticPr fontId="3"/>
  </si>
  <si>
    <t>r01</t>
    <phoneticPr fontId="3"/>
  </si>
  <si>
    <t>first issue</t>
    <phoneticPr fontId="3"/>
  </si>
  <si>
    <t>Template:</t>
    <phoneticPr fontId="3"/>
  </si>
  <si>
    <t>HW team Input</t>
    <phoneticPr fontId="3"/>
  </si>
  <si>
    <t>Version</t>
    <phoneticPr fontId="3"/>
  </si>
  <si>
    <t>Date</t>
    <phoneticPr fontId="3"/>
  </si>
  <si>
    <t>Name</t>
    <phoneticPr fontId="3"/>
  </si>
  <si>
    <t>66VA MP3(KAKC), MP2(except KAKC) parts number information</t>
    <phoneticPr fontId="3"/>
  </si>
  <si>
    <r>
      <t xml:space="preserve">Predecessor
Bosch ECU P/N
</t>
    </r>
    <r>
      <rPr>
        <b/>
        <sz val="14"/>
        <color rgb="FFFF0000"/>
        <rFont val="Consolas"/>
        <family val="3"/>
      </rPr>
      <t>Copy Base BOM</t>
    </r>
  </si>
  <si>
    <t>V</t>
    <phoneticPr fontId="3"/>
  </si>
  <si>
    <t>A</t>
    <phoneticPr fontId="3"/>
  </si>
  <si>
    <t>M</t>
    <phoneticPr fontId="3"/>
  </si>
  <si>
    <t>Z</t>
    <phoneticPr fontId="3"/>
  </si>
  <si>
    <t>/</t>
    <phoneticPr fontId="3"/>
  </si>
  <si>
    <t xml:space="preserve">1st DWG. </t>
    <phoneticPr fontId="3"/>
  </si>
  <si>
    <t xml:space="preserve">2nd DWG. </t>
    <phoneticPr fontId="3"/>
  </si>
  <si>
    <t xml:space="preserve">3rd DWG. </t>
    <phoneticPr fontId="3"/>
  </si>
  <si>
    <t>Bosch ECU Series P/N</t>
    <phoneticPr fontId="3"/>
  </si>
  <si>
    <t>0261B009FB-00</t>
    <phoneticPr fontId="3"/>
  </si>
  <si>
    <t>0261S107J4</t>
    <phoneticPr fontId="3"/>
  </si>
  <si>
    <t>0261B009FC-00</t>
    <phoneticPr fontId="3"/>
  </si>
  <si>
    <t>Bosch ECU Sample P/N 
(B No.)</t>
    <phoneticPr fontId="3"/>
  </si>
  <si>
    <t>0261B009FD-00</t>
    <phoneticPr fontId="3"/>
  </si>
  <si>
    <t>0261S107J5</t>
    <phoneticPr fontId="3"/>
  </si>
  <si>
    <t/>
  </si>
  <si>
    <t>0261B009FE-00</t>
    <phoneticPr fontId="3"/>
  </si>
  <si>
    <t>0261S107J6</t>
    <phoneticPr fontId="3"/>
  </si>
  <si>
    <t>0261S107J3</t>
    <phoneticPr fontId="3"/>
  </si>
  <si>
    <t>0261B009FF-00</t>
    <phoneticPr fontId="3"/>
  </si>
  <si>
    <t>0261S107J8</t>
    <phoneticPr fontId="3"/>
  </si>
  <si>
    <t>0261B009FG-00</t>
    <phoneticPr fontId="3"/>
  </si>
  <si>
    <t>0261S107J7</t>
    <phoneticPr fontId="3"/>
  </si>
  <si>
    <t>0261S107J9</t>
    <phoneticPr fontId="3"/>
  </si>
  <si>
    <t>0261B009FH-00</t>
    <phoneticPr fontId="3"/>
  </si>
  <si>
    <t>0261B009FJ-00</t>
    <phoneticPr fontId="3"/>
  </si>
  <si>
    <t>0261B009FK-00</t>
    <phoneticPr fontId="3"/>
  </si>
  <si>
    <t>0261S107JA</t>
    <phoneticPr fontId="3"/>
  </si>
  <si>
    <t>0261S107JB</t>
    <phoneticPr fontId="3"/>
  </si>
  <si>
    <t>0261B009FL-00</t>
    <phoneticPr fontId="3"/>
  </si>
  <si>
    <t>0261S107JC</t>
    <phoneticPr fontId="3"/>
  </si>
  <si>
    <t>0261S107JD</t>
    <phoneticPr fontId="3"/>
  </si>
  <si>
    <t>0261B009FM-00</t>
    <phoneticPr fontId="3"/>
  </si>
  <si>
    <t>0261S107JE</t>
    <phoneticPr fontId="3"/>
  </si>
  <si>
    <t>0261B009FN-00</t>
    <phoneticPr fontId="3"/>
  </si>
  <si>
    <t>0261S107JF</t>
    <phoneticPr fontId="3"/>
  </si>
  <si>
    <t>0261B009FP-00</t>
    <phoneticPr fontId="3"/>
  </si>
  <si>
    <t>0261S107JG</t>
    <phoneticPr fontId="3"/>
  </si>
  <si>
    <t>0261B009FR-00</t>
    <phoneticPr fontId="3"/>
  </si>
  <si>
    <t>66VA MP2(KAKC)</t>
    <phoneticPr fontId="3"/>
  </si>
  <si>
    <t>66VA MP1-2(except KAKC)</t>
    <phoneticPr fontId="3"/>
  </si>
  <si>
    <t>37820-66V -A030-M6</t>
    <phoneticPr fontId="3"/>
  </si>
  <si>
    <t>37820-66V -Q030-M6</t>
    <phoneticPr fontId="3"/>
  </si>
  <si>
    <t>37820-66V -K030-M6</t>
    <phoneticPr fontId="3"/>
  </si>
  <si>
    <t>37820-66V -K130-M6</t>
    <phoneticPr fontId="3"/>
  </si>
  <si>
    <t>37820-66V -J030-M6</t>
    <phoneticPr fontId="3"/>
  </si>
  <si>
    <t>37820-66V -U030-M6</t>
    <phoneticPr fontId="3"/>
  </si>
  <si>
    <t>37820-66V -Z030-M6</t>
    <phoneticPr fontId="3"/>
  </si>
  <si>
    <t>37820-66V -E030-M6</t>
    <phoneticPr fontId="3"/>
  </si>
  <si>
    <t>37820-66V -B030-M6</t>
    <phoneticPr fontId="3"/>
  </si>
  <si>
    <t>37820-66V -W030-M6</t>
    <phoneticPr fontId="3"/>
  </si>
  <si>
    <t>37820-66V -H030-M6</t>
    <phoneticPr fontId="3"/>
  </si>
  <si>
    <t>37820-66V -M030-M6</t>
    <phoneticPr fontId="3"/>
  </si>
  <si>
    <t>37820-66V -Y030-M6</t>
    <phoneticPr fontId="3"/>
  </si>
  <si>
    <t>37820-66V -R030-M6</t>
    <phoneticPr fontId="3"/>
  </si>
  <si>
    <t>0261S107J8 / 0261B009FG-00</t>
    <phoneticPr fontId="3"/>
  </si>
  <si>
    <t>0261S107JE / 0261B009FN-00</t>
    <phoneticPr fontId="3"/>
  </si>
  <si>
    <t>Predecessor ECU P/N
Remark of Base BOM</t>
    <phoneticPr fontId="3"/>
  </si>
  <si>
    <t>Sales Input</t>
    <phoneticPr fontId="3"/>
  </si>
  <si>
    <t>&lt;Purpose&gt;</t>
    <phoneticPr fontId="3"/>
  </si>
  <si>
    <r>
      <t>HM 4MOC requested to issue the MP3 and MP2 for MED17.9.3 66VA.
Base file:2YN-R_SYSTEM_MATRIX_</t>
    </r>
    <r>
      <rPr>
        <sz val="11"/>
        <rFont val="Segoe UI Symbol"/>
        <family val="3"/>
      </rPr>
      <t>△</t>
    </r>
    <r>
      <rPr>
        <sz val="11"/>
        <rFont val="Consolas"/>
        <family val="3"/>
      </rPr>
      <t>31.xlsx</t>
    </r>
    <phoneticPr fontId="3"/>
  </si>
  <si>
    <r>
      <t xml:space="preserve">HONDA Parts No.
</t>
    </r>
    <r>
      <rPr>
        <sz val="10"/>
        <rFont val="Consolas"/>
        <family val="3"/>
      </rPr>
      <t>(Customer SNR)</t>
    </r>
    <r>
      <rPr>
        <sz val="14"/>
        <rFont val="Consolas"/>
        <family val="3"/>
      </rPr>
      <t xml:space="preserve">
</t>
    </r>
    <r>
      <rPr>
        <sz val="11"/>
        <rFont val="Consolas"/>
        <family val="3"/>
      </rPr>
      <t>[Copy past from 
"System matrix"]</t>
    </r>
    <phoneticPr fontId="3"/>
  </si>
  <si>
    <t>A</t>
    <phoneticPr fontId="3"/>
  </si>
  <si>
    <r>
      <t xml:space="preserve">HONDA Parts No.
</t>
    </r>
    <r>
      <rPr>
        <sz val="10"/>
        <rFont val="Consolas"/>
        <family val="3"/>
      </rPr>
      <t xml:space="preserve">[For Contetns check]
</t>
    </r>
    <r>
      <rPr>
        <sz val="10"/>
        <color rgb="FFFF0000"/>
        <rFont val="Consolas"/>
        <family val="3"/>
      </rPr>
      <t xml:space="preserve">If cell color change to red, re-check the parts No. again. 
In case of correct part no., please comment in Remark (ex. "Correct parts No.") </t>
    </r>
    <phoneticPr fontId="3"/>
  </si>
  <si>
    <t>X</t>
  </si>
  <si>
    <t>Honda PN is correct based on system matrix</t>
  </si>
  <si>
    <t>Z</t>
  </si>
  <si>
    <t>Request for RACE product release of 62XS MP1 part numbers</t>
  </si>
  <si>
    <t>Vajapeyi S B (MS/EEM11-PS-PC)</t>
  </si>
  <si>
    <t>Iwata Tomohiro (PS-SC/ECG3-JP)
Ito Yasushi (PS-SC/ECG3-JP)</t>
  </si>
  <si>
    <t>62XS MP1 parts number information</t>
  </si>
  <si>
    <t>HM Akisawa-san requested to issue the MP1/FPD (Final Prototype) for MG1CS022 62XS.
Base file:CR-GDI-HG27B-SY009-0.xlsx =&gt; System_Matrix_CR-GDI-HG27B-SY009-0.xlsx</t>
  </si>
  <si>
    <t>file://///sites.inside-share3.bosch.com@SSL/DavWWWRoot/sites/107525/Documents/Common/08_Drawings/08_MG1CS022/03_62XS/01_MP1/02_PN_Info/RB/RACE</t>
  </si>
  <si>
    <t>37820-62X -ME10-M6</t>
  </si>
  <si>
    <t>37820-62X -MF10-M6</t>
  </si>
  <si>
    <t>37820-62X -MD10-M6</t>
  </si>
  <si>
    <t>37820-62X -MG10-M6</t>
  </si>
  <si>
    <t>37820-62X -MH10-M6</t>
  </si>
  <si>
    <t>37820-62X -MJ10-M6</t>
  </si>
  <si>
    <t>0261S109WL</t>
  </si>
  <si>
    <t>MG1CS022 62XS MP1 CVT 4 DOOR</t>
  </si>
  <si>
    <t>MG1CS022 62XS MP1 CVT 5 DOOR</t>
  </si>
  <si>
    <t>0261S10A2Y</t>
  </si>
  <si>
    <t>0261S10A2Z</t>
  </si>
  <si>
    <t>0261S10A30</t>
  </si>
  <si>
    <t>0261S10A31</t>
  </si>
  <si>
    <t>0261S10A32</t>
  </si>
  <si>
    <t>0261S10A33</t>
  </si>
  <si>
    <t>0261B00CE7-00</t>
  </si>
  <si>
    <t>0261B00CE8-00</t>
  </si>
  <si>
    <t>0261B00CE9-00</t>
  </si>
  <si>
    <t>0261B00CF0-00</t>
  </si>
  <si>
    <t>0261B00CF1-00</t>
  </si>
  <si>
    <t>0261B00CF2-00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</si>
</sst>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name val="Consolas"/>
      <family val="3"/>
    </font>
    <font>
      <sz val="10"/>
      <color theme="1"/>
      <name val="Arial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9.35"/>
      <color theme="10"/>
      <name val="ＭＳ Ｐゴシック"/>
      <family val="3"/>
      <charset val="128"/>
    </font>
    <font>
      <sz val="10"/>
      <name val="Arial"/>
      <family val="2"/>
    </font>
    <font>
      <sz val="11"/>
      <color theme="1"/>
      <name val="Calibri"/>
      <family val="2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u/>
      <sz val="7.7"/>
      <color theme="10"/>
      <name val="ＭＳ Ｐゴシック"/>
      <family val="3"/>
      <charset val="128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u/>
      <sz val="11.5"/>
      <color theme="10"/>
      <name val="Arial"/>
      <family val="2"/>
    </font>
    <font>
      <u/>
      <sz val="7.5"/>
      <color indexed="12"/>
      <name val="Arial"/>
      <family val="2"/>
    </font>
    <font>
      <sz val="9"/>
      <name val="Segoe UI Symbol"/>
      <family val="2"/>
    </font>
    <font>
      <sz val="14"/>
      <name val="Consolas"/>
      <family val="3"/>
    </font>
    <font>
      <sz val="11"/>
      <name val="Consolas"/>
      <family val="3"/>
    </font>
    <font>
      <sz val="20"/>
      <name val="Consolas"/>
      <family val="3"/>
    </font>
    <font>
      <sz val="9"/>
      <name val="Consolas"/>
      <family val="3"/>
    </font>
    <font>
      <u/>
      <sz val="9.35"/>
      <color theme="10"/>
      <name val="Consolas"/>
      <family val="3"/>
    </font>
    <font>
      <b/>
      <sz val="11"/>
      <color rgb="FFFF0000"/>
      <name val="Consolas"/>
      <family val="3"/>
    </font>
    <font>
      <sz val="11"/>
      <color rgb="FFFF0000"/>
      <name val="Consolas"/>
      <family val="3"/>
    </font>
    <font>
      <b/>
      <sz val="10"/>
      <color rgb="FF333333"/>
      <name val="Consolas"/>
      <family val="3"/>
    </font>
    <font>
      <b/>
      <sz val="11"/>
      <name val="Consolas"/>
      <family val="3"/>
    </font>
    <font>
      <sz val="10"/>
      <name val="Consolas"/>
      <family val="3"/>
    </font>
    <font>
      <sz val="10"/>
      <color rgb="FFFF0000"/>
      <name val="Consolas"/>
      <family val="3"/>
    </font>
    <font>
      <b/>
      <sz val="14"/>
      <color rgb="FFFF0000"/>
      <name val="Consolas"/>
      <family val="3"/>
    </font>
    <font>
      <sz val="11"/>
      <name val="Segoe UI Symbol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</cellStyleXfs>
  <cellXfs count="155">
    <xf numFmtId="0" fontId="0" fillId="0" borderId="0" xfId="0"/>
    <xf numFmtId="0" fontId="0" fillId="0" borderId="0" xfId="0" applyFont="1"/>
    <xf numFmtId="0" fontId="0" fillId="3" borderId="0" xfId="0" applyFont="1" applyFill="1"/>
    <xf numFmtId="14" fontId="0" fillId="0" borderId="0" xfId="0" applyNumberFormat="1" applyFont="1"/>
    <xf numFmtId="0" fontId="0" fillId="4" borderId="0" xfId="0" applyFont="1" applyFill="1"/>
    <xf numFmtId="0" fontId="19" fillId="0" borderId="0" xfId="4" applyFont="1" applyAlignment="1" applyProtection="1"/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0" xfId="0" applyFont="1" applyAlignment="1">
      <alignment textRotation="180"/>
    </xf>
    <xf numFmtId="0" fontId="0" fillId="4" borderId="11" xfId="0" applyFont="1" applyFill="1" applyBorder="1" applyAlignment="1">
      <alignment horizontal="center" vertical="center"/>
    </xf>
    <xf numFmtId="0" fontId="21" fillId="4" borderId="11" xfId="0" applyFont="1" applyFill="1" applyBorder="1" applyAlignment="1">
      <alignment horizontal="center" vertical="center"/>
    </xf>
    <xf numFmtId="0" fontId="22" fillId="0" borderId="0" xfId="0" applyFont="1"/>
    <xf numFmtId="0" fontId="0" fillId="0" borderId="11" xfId="0" applyFont="1" applyFill="1" applyBorder="1" applyAlignment="1">
      <alignment horizontal="center" vertical="center"/>
    </xf>
    <xf numFmtId="3" fontId="0" fillId="3" borderId="11" xfId="0" quotePrefix="1" applyNumberFormat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left" vertical="center"/>
    </xf>
    <xf numFmtId="0" fontId="0" fillId="4" borderId="18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3" fontId="0" fillId="3" borderId="18" xfId="0" quotePrefix="1" applyNumberFormat="1" applyFont="1" applyFill="1" applyBorder="1" applyAlignment="1">
      <alignment horizontal="center" vertical="center"/>
    </xf>
    <xf numFmtId="0" fontId="0" fillId="4" borderId="18" xfId="0" quotePrefix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left" vertical="center"/>
    </xf>
    <xf numFmtId="0" fontId="0" fillId="4" borderId="9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3" fontId="0" fillId="3" borderId="9" xfId="0" quotePrefix="1" applyNumberFormat="1" applyFont="1" applyFill="1" applyBorder="1" applyAlignment="1">
      <alignment horizontal="center" vertical="center"/>
    </xf>
    <xf numFmtId="0" fontId="0" fillId="4" borderId="9" xfId="0" quotePrefix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4" borderId="16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3" fontId="0" fillId="3" borderId="16" xfId="0" quotePrefix="1" applyNumberFormat="1" applyFont="1" applyFill="1" applyBorder="1" applyAlignment="1">
      <alignment horizontal="center" vertical="center"/>
    </xf>
    <xf numFmtId="0" fontId="0" fillId="4" borderId="16" xfId="0" quotePrefix="1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left" vertical="center"/>
    </xf>
    <xf numFmtId="0" fontId="23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4" fillId="2" borderId="0" xfId="6" applyFont="1" applyFill="1" applyAlignment="1">
      <alignment horizontal="left" vertical="center"/>
    </xf>
    <xf numFmtId="0" fontId="16" fillId="0" borderId="0" xfId="6" applyFont="1" applyAlignment="1">
      <alignment vertical="center"/>
    </xf>
    <xf numFmtId="0" fontId="23" fillId="2" borderId="23" xfId="6" applyFont="1" applyFill="1" applyBorder="1" applyAlignment="1">
      <alignment horizontal="center" vertical="center"/>
    </xf>
    <xf numFmtId="0" fontId="16" fillId="2" borderId="24" xfId="6" applyFont="1" applyFill="1" applyBorder="1" applyAlignment="1">
      <alignment horizontal="center" vertical="center"/>
    </xf>
    <xf numFmtId="14" fontId="16" fillId="2" borderId="11" xfId="6" applyNumberFormat="1" applyFont="1" applyFill="1" applyBorder="1" applyAlignment="1">
      <alignment horizontal="center" vertical="center"/>
    </xf>
    <xf numFmtId="0" fontId="16" fillId="2" borderId="11" xfId="6" applyFont="1" applyFill="1" applyBorder="1" applyAlignment="1">
      <alignment vertical="center" wrapText="1"/>
    </xf>
    <xf numFmtId="0" fontId="16" fillId="2" borderId="25" xfId="6" applyFont="1" applyFill="1" applyBorder="1" applyAlignment="1">
      <alignment vertical="center"/>
    </xf>
    <xf numFmtId="0" fontId="16" fillId="2" borderId="11" xfId="6" applyFont="1" applyFill="1" applyBorder="1" applyAlignment="1">
      <alignment horizontal="center" vertical="center"/>
    </xf>
    <xf numFmtId="0" fontId="16" fillId="2" borderId="11" xfId="6" applyFont="1" applyFill="1" applyBorder="1" applyAlignment="1">
      <alignment horizontal="left" vertical="center"/>
    </xf>
    <xf numFmtId="0" fontId="16" fillId="2" borderId="11" xfId="6" applyFont="1" applyFill="1" applyBorder="1" applyAlignment="1">
      <alignment vertical="center"/>
    </xf>
    <xf numFmtId="0" fontId="16" fillId="2" borderId="11" xfId="6" applyFont="1" applyFill="1" applyBorder="1" applyAlignment="1">
      <alignment horizontal="left" vertical="center" wrapText="1"/>
    </xf>
    <xf numFmtId="0" fontId="24" fillId="2" borderId="11" xfId="6" applyFont="1" applyFill="1" applyBorder="1" applyAlignment="1">
      <alignment horizontal="left" vertical="center"/>
    </xf>
    <xf numFmtId="0" fontId="24" fillId="0" borderId="0" xfId="6" applyFont="1" applyAlignment="1">
      <alignment horizontal="left" vertical="center"/>
    </xf>
    <xf numFmtId="0" fontId="23" fillId="0" borderId="0" xfId="6" applyFont="1" applyAlignment="1">
      <alignment vertical="center"/>
    </xf>
    <xf numFmtId="0" fontId="24" fillId="0" borderId="0" xfId="6" applyFont="1"/>
    <xf numFmtId="0" fontId="25" fillId="0" borderId="0" xfId="6" applyFont="1" applyAlignment="1">
      <alignment horizontal="right" vertical="center"/>
    </xf>
    <xf numFmtId="0" fontId="23" fillId="0" borderId="23" xfId="6" applyFont="1" applyBorder="1" applyAlignment="1">
      <alignment horizontal="center" vertical="center"/>
    </xf>
    <xf numFmtId="0" fontId="0" fillId="0" borderId="0" xfId="0" applyFont="1" applyAlignment="1">
      <alignment horizontal="right"/>
    </xf>
    <xf numFmtId="0" fontId="0" fillId="5" borderId="0" xfId="0" applyFont="1" applyFill="1"/>
    <xf numFmtId="0" fontId="15" fillId="0" borderId="13" xfId="0" applyFont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Border="1"/>
    <xf numFmtId="0" fontId="15" fillId="0" borderId="33" xfId="0" applyFont="1" applyBorder="1" applyAlignment="1">
      <alignment horizontal="center" vertical="center" wrapText="1"/>
    </xf>
    <xf numFmtId="0" fontId="0" fillId="0" borderId="0" xfId="0" applyFont="1" applyFill="1" applyAlignment="1">
      <alignment horizontal="left" vertical="top" wrapText="1"/>
    </xf>
    <xf numFmtId="0" fontId="16" fillId="0" borderId="0" xfId="6" applyFont="1" applyAlignment="1">
      <alignment horizontal="center" vertical="center"/>
    </xf>
    <xf numFmtId="14" fontId="16" fillId="0" borderId="0" xfId="6" applyNumberFormat="1" applyFont="1" applyAlignment="1">
      <alignment horizontal="center" vertical="center"/>
    </xf>
    <xf numFmtId="0" fontId="0" fillId="0" borderId="36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14" fontId="0" fillId="0" borderId="11" xfId="0" applyNumberFormat="1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15" fillId="4" borderId="9" xfId="0" applyFont="1" applyFill="1" applyBorder="1" applyAlignment="1" applyProtection="1">
      <alignment horizontal="center" vertical="center"/>
      <protection locked="0"/>
    </xf>
    <xf numFmtId="0" fontId="15" fillId="4" borderId="11" xfId="0" applyFont="1" applyFill="1" applyBorder="1" applyAlignment="1" applyProtection="1">
      <alignment horizontal="center" vertical="center"/>
      <protection locked="0"/>
    </xf>
    <xf numFmtId="0" fontId="15" fillId="4" borderId="16" xfId="0" applyFont="1" applyFill="1" applyBorder="1" applyAlignment="1" applyProtection="1">
      <alignment horizontal="center" vertical="center"/>
      <protection locked="0"/>
    </xf>
    <xf numFmtId="3" fontId="15" fillId="3" borderId="9" xfId="0" quotePrefix="1" applyNumberFormat="1" applyFont="1" applyFill="1" applyBorder="1" applyAlignment="1" applyProtection="1">
      <alignment horizontal="center" vertical="center"/>
      <protection locked="0"/>
    </xf>
    <xf numFmtId="0" fontId="15" fillId="4" borderId="11" xfId="0" quotePrefix="1" applyFont="1" applyFill="1" applyBorder="1" applyAlignment="1" applyProtection="1">
      <alignment horizontal="center" vertical="center"/>
      <protection locked="0"/>
    </xf>
    <xf numFmtId="0" fontId="15" fillId="4" borderId="26" xfId="0" applyFont="1" applyFill="1" applyBorder="1" applyAlignment="1" applyProtection="1">
      <alignment horizontal="left" vertical="center"/>
      <protection locked="0"/>
    </xf>
    <xf numFmtId="0" fontId="0" fillId="4" borderId="35" xfId="0" applyFont="1" applyFill="1" applyBorder="1" applyProtection="1">
      <protection locked="0"/>
    </xf>
    <xf numFmtId="3" fontId="15" fillId="3" borderId="11" xfId="0" quotePrefix="1" applyNumberFormat="1" applyFont="1" applyFill="1" applyBorder="1" applyAlignment="1" applyProtection="1">
      <alignment horizontal="center" vertical="center"/>
      <protection locked="0"/>
    </xf>
    <xf numFmtId="0" fontId="15" fillId="4" borderId="27" xfId="0" applyFont="1" applyFill="1" applyBorder="1" applyAlignment="1" applyProtection="1">
      <alignment horizontal="left" vertical="center"/>
      <protection locked="0"/>
    </xf>
    <xf numFmtId="0" fontId="0" fillId="4" borderId="15" xfId="0" applyFont="1" applyFill="1" applyBorder="1" applyProtection="1">
      <protection locked="0"/>
    </xf>
    <xf numFmtId="3" fontId="15" fillId="3" borderId="18" xfId="0" quotePrefix="1" applyNumberFormat="1" applyFont="1" applyFill="1" applyBorder="1" applyAlignment="1" applyProtection="1">
      <alignment horizontal="center" vertical="center"/>
      <protection locked="0"/>
    </xf>
    <xf numFmtId="0" fontId="15" fillId="4" borderId="18" xfId="0" quotePrefix="1" applyFont="1" applyFill="1" applyBorder="1" applyAlignment="1" applyProtection="1">
      <alignment horizontal="center" vertical="center"/>
      <protection locked="0"/>
    </xf>
    <xf numFmtId="3" fontId="15" fillId="3" borderId="16" xfId="0" quotePrefix="1" applyNumberFormat="1" applyFont="1" applyFill="1" applyBorder="1" applyAlignment="1" applyProtection="1">
      <alignment horizontal="center" vertical="center"/>
      <protection locked="0"/>
    </xf>
    <xf numFmtId="0" fontId="15" fillId="4" borderId="16" xfId="0" quotePrefix="1" applyFont="1" applyFill="1" applyBorder="1" applyAlignment="1" applyProtection="1">
      <alignment horizontal="center" vertical="center"/>
      <protection locked="0"/>
    </xf>
    <xf numFmtId="0" fontId="15" fillId="4" borderId="34" xfId="0" applyFont="1" applyFill="1" applyBorder="1" applyAlignment="1" applyProtection="1">
      <alignment horizontal="left" vertical="center"/>
      <protection locked="0"/>
    </xf>
    <xf numFmtId="0" fontId="0" fillId="4" borderId="17" xfId="0" applyFont="1" applyFill="1" applyBorder="1" applyProtection="1">
      <protection locked="0"/>
    </xf>
    <xf numFmtId="0" fontId="15" fillId="4" borderId="9" xfId="0" quotePrefix="1" applyFont="1" applyFill="1" applyBorder="1" applyAlignment="1" applyProtection="1">
      <alignment horizontal="center" vertical="center"/>
      <protection locked="0"/>
    </xf>
    <xf numFmtId="0" fontId="0" fillId="4" borderId="10" xfId="0" applyFont="1" applyFill="1" applyBorder="1" applyProtection="1">
      <protection locked="0"/>
    </xf>
    <xf numFmtId="0" fontId="15" fillId="3" borderId="11" xfId="0" applyFont="1" applyFill="1" applyBorder="1" applyAlignment="1" applyProtection="1">
      <alignment horizontal="center" vertical="center"/>
      <protection locked="0"/>
    </xf>
    <xf numFmtId="0" fontId="15" fillId="3" borderId="11" xfId="0" quotePrefix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 applyProtection="1">
      <alignment vertical="top" wrapText="1"/>
    </xf>
    <xf numFmtId="0" fontId="16" fillId="4" borderId="11" xfId="6" applyFont="1" applyFill="1" applyBorder="1" applyAlignment="1" applyProtection="1">
      <alignment horizontal="center" vertical="center"/>
      <protection locked="0"/>
    </xf>
    <xf numFmtId="14" fontId="16" fillId="4" borderId="11" xfId="6" applyNumberFormat="1" applyFont="1" applyFill="1" applyBorder="1" applyAlignment="1" applyProtection="1">
      <alignment horizontal="center" vertical="center"/>
      <protection locked="0"/>
    </xf>
    <xf numFmtId="0" fontId="16" fillId="4" borderId="11" xfId="6" applyFont="1" applyFill="1" applyBorder="1" applyAlignment="1" applyProtection="1">
      <alignment vertical="top" wrapText="1"/>
      <protection locked="0"/>
    </xf>
    <xf numFmtId="0" fontId="16" fillId="4" borderId="11" xfId="6" applyFont="1" applyFill="1" applyBorder="1" applyAlignment="1" applyProtection="1">
      <alignment vertical="center"/>
      <protection locked="0"/>
    </xf>
    <xf numFmtId="0" fontId="16" fillId="4" borderId="11" xfId="6" applyFont="1" applyFill="1" applyBorder="1" applyAlignment="1" applyProtection="1">
      <alignment vertical="center" wrapText="1"/>
      <protection locked="0"/>
    </xf>
    <xf numFmtId="0" fontId="15" fillId="0" borderId="30" xfId="0" applyFont="1" applyBorder="1" applyAlignment="1">
      <alignment horizontal="center" vertical="center" wrapText="1"/>
    </xf>
    <xf numFmtId="0" fontId="15" fillId="4" borderId="25" xfId="0" quotePrefix="1" applyFont="1" applyFill="1" applyBorder="1" applyAlignment="1" applyProtection="1">
      <alignment horizontal="center" vertical="center"/>
      <protection locked="0"/>
    </xf>
    <xf numFmtId="0" fontId="15" fillId="0" borderId="37" xfId="0" applyFont="1" applyBorder="1" applyAlignment="1">
      <alignment horizontal="center" vertical="center" wrapText="1"/>
    </xf>
    <xf numFmtId="3" fontId="15" fillId="4" borderId="25" xfId="0" quotePrefix="1" applyNumberFormat="1" applyFont="1" applyFill="1" applyBorder="1" applyAlignment="1" applyProtection="1">
      <alignment horizontal="center" vertical="center"/>
      <protection locked="0"/>
    </xf>
    <xf numFmtId="3" fontId="15" fillId="4" borderId="16" xfId="0" quotePrefix="1" applyNumberFormat="1" applyFont="1" applyFill="1" applyBorder="1" applyAlignment="1" applyProtection="1">
      <alignment horizontal="center" vertical="center"/>
      <protection locked="0"/>
    </xf>
    <xf numFmtId="3" fontId="15" fillId="4" borderId="9" xfId="0" quotePrefix="1" applyNumberFormat="1" applyFont="1" applyFill="1" applyBorder="1" applyAlignment="1" applyProtection="1">
      <alignment horizontal="center" vertical="center"/>
      <protection locked="0"/>
    </xf>
    <xf numFmtId="0" fontId="0" fillId="3" borderId="27" xfId="0" applyFont="1" applyFill="1" applyBorder="1" applyAlignment="1">
      <alignment horizontal="center"/>
    </xf>
    <xf numFmtId="0" fontId="0" fillId="3" borderId="28" xfId="0" applyFont="1" applyFill="1" applyBorder="1" applyAlignment="1">
      <alignment horizontal="center"/>
    </xf>
    <xf numFmtId="0" fontId="0" fillId="3" borderId="29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7" fillId="4" borderId="1" xfId="0" applyFont="1" applyFill="1" applyBorder="1" applyAlignment="1" applyProtection="1">
      <alignment horizontal="center" vertical="center" shrinkToFit="1"/>
      <protection locked="0"/>
    </xf>
    <xf numFmtId="0" fontId="17" fillId="4" borderId="3" xfId="0" applyFont="1" applyFill="1" applyBorder="1" applyAlignment="1" applyProtection="1">
      <alignment horizontal="center" vertical="center" shrinkToFit="1"/>
      <protection locked="0"/>
    </xf>
    <xf numFmtId="0" fontId="17" fillId="4" borderId="4" xfId="0" applyFont="1" applyFill="1" applyBorder="1" applyAlignment="1" applyProtection="1">
      <alignment horizontal="center" vertical="center" shrinkToFit="1"/>
      <protection locked="0"/>
    </xf>
    <xf numFmtId="0" fontId="17" fillId="4" borderId="2" xfId="0" applyFont="1" applyFill="1" applyBorder="1" applyAlignment="1" applyProtection="1">
      <alignment horizontal="center" vertical="center" shrinkToFit="1"/>
      <protection locked="0"/>
    </xf>
    <xf numFmtId="0" fontId="17" fillId="4" borderId="5" xfId="0" applyFont="1" applyFill="1" applyBorder="1" applyAlignment="1" applyProtection="1">
      <alignment horizontal="center" vertical="center" shrinkToFit="1"/>
      <protection locked="0"/>
    </xf>
    <xf numFmtId="0" fontId="17" fillId="4" borderId="6" xfId="0" applyFont="1" applyFill="1" applyBorder="1" applyAlignment="1" applyProtection="1">
      <alignment horizontal="center" vertical="center" shrinkToFit="1"/>
      <protection locked="0"/>
    </xf>
    <xf numFmtId="0" fontId="0" fillId="0" borderId="3" xfId="0" applyFont="1" applyFill="1" applyBorder="1" applyAlignment="1" applyProtection="1">
      <alignment horizontal="left" vertical="top" wrapText="1"/>
    </xf>
    <xf numFmtId="0" fontId="0" fillId="4" borderId="0" xfId="0" applyFont="1" applyFill="1" applyAlignment="1" applyProtection="1">
      <alignment horizontal="left" vertical="top" wrapText="1"/>
      <protection locked="0"/>
    </xf>
    <xf numFmtId="0" fontId="0" fillId="4" borderId="27" xfId="0" applyFont="1" applyFill="1" applyBorder="1" applyAlignment="1">
      <alignment horizontal="center"/>
    </xf>
    <xf numFmtId="0" fontId="0" fillId="4" borderId="28" xfId="0" applyFont="1" applyFill="1" applyBorder="1" applyAlignment="1">
      <alignment horizontal="center"/>
    </xf>
    <xf numFmtId="0" fontId="0" fillId="4" borderId="29" xfId="0" applyFont="1" applyFill="1" applyBorder="1" applyAlignment="1">
      <alignment horizontal="center"/>
    </xf>
    <xf numFmtId="0" fontId="15" fillId="4" borderId="13" xfId="0" applyFont="1" applyFill="1" applyBorder="1" applyAlignment="1" applyProtection="1">
      <alignment horizontal="center" vertical="center"/>
      <protection locked="0"/>
    </xf>
    <xf numFmtId="0" fontId="15" fillId="4" borderId="19" xfId="0" applyFont="1" applyFill="1" applyBorder="1" applyAlignment="1" applyProtection="1">
      <alignment horizontal="center" vertical="center"/>
      <protection locked="0"/>
    </xf>
    <xf numFmtId="0" fontId="15" fillId="4" borderId="8" xfId="0" applyFont="1" applyFill="1" applyBorder="1" applyAlignment="1" applyProtection="1">
      <alignment horizontal="center" vertical="center"/>
      <protection locked="0"/>
    </xf>
    <xf numFmtId="0" fontId="19" fillId="4" borderId="0" xfId="4" applyFont="1" applyFill="1" applyAlignment="1" applyProtection="1">
      <alignment horizontal="left"/>
      <protection locked="0"/>
    </xf>
    <xf numFmtId="0" fontId="15" fillId="0" borderId="1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 textRotation="90"/>
    </xf>
    <xf numFmtId="0" fontId="15" fillId="0" borderId="12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0" fontId="0" fillId="4" borderId="19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4" borderId="21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shrinkToFit="1"/>
    </xf>
    <xf numFmtId="0" fontId="17" fillId="0" borderId="3" xfId="0" applyFont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 shrinkToFit="1"/>
    </xf>
    <xf numFmtId="0" fontId="17" fillId="0" borderId="6" xfId="0" applyFont="1" applyBorder="1" applyAlignment="1">
      <alignment horizontal="center" vertical="center" shrinkToFit="1"/>
    </xf>
    <xf numFmtId="0" fontId="18" fillId="2" borderId="0" xfId="0" applyFont="1" applyFill="1" applyAlignment="1">
      <alignment vertical="top" wrapText="1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4" borderId="20" xfId="0" applyFont="1" applyFill="1" applyBorder="1" applyAlignment="1">
      <alignment horizontal="center" vertical="center"/>
    </xf>
  </cellXfs>
  <cellStyles count="23">
    <cellStyle name="AutoFormat-Optionen" xfId="16" xr:uid="{00000000-0005-0000-0000-000000000000}"/>
    <cellStyle name="Hyperlink" xfId="4" builtinId="8"/>
    <cellStyle name="Normal" xfId="0" builtinId="0" customBuiltin="1"/>
    <cellStyle name="Normal 2" xfId="15" xr:uid="{00000000-0005-0000-0000-000001000000}"/>
    <cellStyle name="Standard 2" xfId="3" xr:uid="{00000000-0005-0000-0000-000002000000}"/>
    <cellStyle name="ハイパーリンク 2" xfId="8" xr:uid="{00000000-0005-0000-0000-000004000000}"/>
    <cellStyle name="ハイパーリンク 3" xfId="10" xr:uid="{00000000-0005-0000-0000-000005000000}"/>
    <cellStyle name="ハイパーリンク 4" xfId="17" xr:uid="{00000000-0005-0000-0000-000006000000}"/>
    <cellStyle name="ハイパーリンク 5" xfId="22" xr:uid="{00000000-0005-0000-0000-000007000000}"/>
    <cellStyle name="ハイパーリンク 6" xfId="9" xr:uid="{00000000-0005-0000-0000-000008000000}"/>
    <cellStyle name="標準 2" xfId="1" xr:uid="{00000000-0005-0000-0000-00000A000000}"/>
    <cellStyle name="標準 2 2" xfId="13" xr:uid="{00000000-0005-0000-0000-00000B000000}"/>
    <cellStyle name="標準 2 3" xfId="6" xr:uid="{00000000-0005-0000-0000-00000C000000}"/>
    <cellStyle name="標準 3" xfId="2" xr:uid="{00000000-0005-0000-0000-00000D000000}"/>
    <cellStyle name="標準 3 2" xfId="14" xr:uid="{00000000-0005-0000-0000-00000E000000}"/>
    <cellStyle name="標準 3 3" xfId="7" xr:uid="{00000000-0005-0000-0000-00000F000000}"/>
    <cellStyle name="標準 4" xfId="11" xr:uid="{00000000-0005-0000-0000-000010000000}"/>
    <cellStyle name="標準 4 2" xfId="18" xr:uid="{00000000-0005-0000-0000-000011000000}"/>
    <cellStyle name="標準 5" xfId="12" xr:uid="{00000000-0005-0000-0000-000012000000}"/>
    <cellStyle name="標準 6" xfId="19" xr:uid="{00000000-0005-0000-0000-000013000000}"/>
    <cellStyle name="標準 7" xfId="20" xr:uid="{00000000-0005-0000-0000-000014000000}"/>
    <cellStyle name="標準 8" xfId="21" xr:uid="{00000000-0005-0000-0000-000015000000}"/>
    <cellStyle name="標準 9" xfId="5" xr:uid="{00000000-0005-0000-0000-000016000000}"/>
  </cellStyles>
  <dxfs count="7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FFFF"/>
      <color rgb="FF66FFFF"/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34910</xdr:colOff>
      <xdr:row>8</xdr:row>
      <xdr:rowOff>60323</xdr:rowOff>
    </xdr:from>
    <xdr:to>
      <xdr:col>3</xdr:col>
      <xdr:colOff>2133599</xdr:colOff>
      <xdr:row>19</xdr:row>
      <xdr:rowOff>114300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D1D96D1B-F46C-43AE-9DE9-CC1E460EB590}"/>
            </a:ext>
          </a:extLst>
        </xdr:cNvPr>
        <xdr:cNvGrpSpPr/>
      </xdr:nvGrpSpPr>
      <xdr:grpSpPr>
        <a:xfrm>
          <a:off x="34910" y="1546223"/>
          <a:ext cx="7426339" cy="2079627"/>
          <a:chOff x="31736" y="1530353"/>
          <a:chExt cx="7426338" cy="2041522"/>
        </a:xfrm>
      </xdr:grpSpPr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0C7E3D2F-897F-4B32-BD1A-62203F0B0C0E}"/>
              </a:ext>
            </a:extLst>
          </xdr:cNvPr>
          <xdr:cNvGrpSpPr/>
        </xdr:nvGrpSpPr>
        <xdr:grpSpPr>
          <a:xfrm>
            <a:off x="31736" y="1530353"/>
            <a:ext cx="7426338" cy="2041522"/>
            <a:chOff x="1612214" y="3838577"/>
            <a:chExt cx="7111019" cy="2035292"/>
          </a:xfrm>
        </xdr:grpSpPr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C1A88C01-4753-4851-8545-45939AC135E3}"/>
                </a:ext>
              </a:extLst>
            </xdr:cNvPr>
            <xdr:cNvSpPr txBox="1"/>
          </xdr:nvSpPr>
          <xdr:spPr>
            <a:xfrm>
              <a:off x="1663857" y="3838577"/>
              <a:ext cx="7059376" cy="2035292"/>
            </a:xfrm>
            <a:prstGeom prst="rect">
              <a:avLst/>
            </a:prstGeom>
            <a:solidFill>
              <a:srgbClr val="FFFF99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kumimoji="1" lang="en-US" altLang="ja-JP" sz="1400" b="1">
                  <a:solidFill>
                    <a:sysClr val="windowText" lastClr="000000"/>
                  </a:solidFill>
                  <a:latin typeface="Consolas" panose="020B0609020204030204" pitchFamily="49" charset="0"/>
                </a:rPr>
                <a:t>HW internal File name rule:</a:t>
              </a:r>
            </a:p>
            <a:p>
              <a:endParaRPr kumimoji="1" lang="en-US" altLang="ja-JP" sz="1400" b="1">
                <a:solidFill>
                  <a:sysClr val="windowText" lastClr="000000"/>
                </a:solidFill>
                <a:latin typeface="Consolas" panose="020B0609020204030204" pitchFamily="49" charset="0"/>
              </a:endParaRPr>
            </a:p>
            <a:p>
              <a:endParaRPr kumimoji="1" lang="en-US" altLang="ja-JP" sz="1100" baseline="0">
                <a:latin typeface="Consolas" panose="020B0609020204030204" pitchFamily="49" charset="0"/>
              </a:endParaRPr>
            </a:p>
            <a:p>
              <a:endParaRPr kumimoji="1" lang="en-US" altLang="ja-JP" sz="1100" baseline="0">
                <a:latin typeface="Consolas" panose="020B0609020204030204" pitchFamily="49" charset="0"/>
              </a:endParaRPr>
            </a:p>
            <a:p>
              <a:r>
                <a:rPr kumimoji="1" lang="en-US" altLang="ja-JP" sz="1400" baseline="0">
                  <a:latin typeface="Consolas" panose="020B0609020204030204" pitchFamily="49" charset="0"/>
                </a:rPr>
                <a:t> 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tl_</a:t>
              </a:r>
              <a:r>
                <a:rPr kumimoji="1" lang="en-US" altLang="ja-JP" sz="1400" b="1" i="0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r</a:t>
              </a:r>
              <a:r>
                <a:rPr kumimoji="1" lang="en-US" altLang="ja-JP" sz="1400" b="1" i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xx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_</a:t>
              </a:r>
              <a:r>
                <a:rPr kumimoji="1" lang="en-US" altLang="ja-JP" sz="1400" b="1" i="1" baseline="0">
                  <a:solidFill>
                    <a:srgbClr val="0000FF"/>
                  </a:solidFill>
                  <a:latin typeface="Consolas" panose="020B0609020204030204" pitchFamily="49" charset="0"/>
                </a:rPr>
                <a:t>xxxx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_</a:t>
              </a:r>
              <a:r>
                <a:rPr kumimoji="1" lang="en-US" altLang="ja-JP" sz="1400" b="1" baseline="0">
                  <a:solidFill>
                    <a:srgbClr val="00B050"/>
                  </a:solidFill>
                  <a:latin typeface="Consolas" panose="020B0609020204030204" pitchFamily="49" charset="0"/>
                </a:rPr>
                <a:t>MP</a:t>
              </a:r>
              <a:r>
                <a:rPr kumimoji="1" lang="en-US" altLang="ja-JP" sz="1400" b="1" i="1" baseline="0">
                  <a:solidFill>
                    <a:srgbClr val="00B050"/>
                  </a:solidFill>
                  <a:latin typeface="Consolas" panose="020B0609020204030204" pitchFamily="49" charset="0"/>
                </a:rPr>
                <a:t>x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_ECU_PN_</a:t>
              </a:r>
              <a:r>
                <a:rPr kumimoji="1" lang="en-US" altLang="ja-JP" sz="1400" b="1" baseline="0">
                  <a:solidFill>
                    <a:schemeClr val="accent6"/>
                  </a:solidFill>
                  <a:latin typeface="Consolas" panose="020B0609020204030204" pitchFamily="49" charset="0"/>
                </a:rPr>
                <a:t>V</a:t>
              </a:r>
              <a:r>
                <a:rPr kumimoji="1" lang="en-US" altLang="ja-JP" sz="1400" b="1" i="1" baseline="0">
                  <a:solidFill>
                    <a:schemeClr val="accent6"/>
                  </a:solidFill>
                  <a:latin typeface="Consolas" panose="020B0609020204030204" pitchFamily="49" charset="0"/>
                </a:rPr>
                <a:t>xx</a:t>
              </a:r>
              <a:r>
                <a:rPr kumimoji="1" lang="en-US" altLang="ja-JP" sz="1400" b="0">
                  <a:solidFill>
                    <a:sysClr val="windowText" lastClr="000000"/>
                  </a:solidFill>
                  <a:latin typeface="Consolas" panose="020B0609020204030204" pitchFamily="49" charset="0"/>
                </a:rPr>
                <a:t>.xlsx    Ex. </a:t>
              </a:r>
              <a:r>
                <a:rPr kumimoji="1" lang="en-US" altLang="ja-JP" sz="1400" b="0">
                  <a:solidFill>
                    <a:srgbClr val="FF0000"/>
                  </a:solidFill>
                  <a:latin typeface="Consolas" panose="020B0609020204030204" pitchFamily="49" charset="0"/>
                </a:rPr>
                <a:t>tl_r01_</a:t>
              </a:r>
              <a:r>
                <a:rPr kumimoji="1" lang="en-US" altLang="ja-JP" sz="1400" b="0">
                  <a:solidFill>
                    <a:srgbClr val="0000FF"/>
                  </a:solidFill>
                  <a:latin typeface="Consolas" panose="020B0609020204030204" pitchFamily="49" charset="0"/>
                </a:rPr>
                <a:t>66VA</a:t>
              </a:r>
              <a:r>
                <a:rPr kumimoji="1" lang="en-US" altLang="ja-JP" sz="1400" b="0">
                  <a:solidFill>
                    <a:srgbClr val="FF0000"/>
                  </a:solidFill>
                  <a:latin typeface="Consolas" panose="020B0609020204030204" pitchFamily="49" charset="0"/>
                </a:rPr>
                <a:t>_</a:t>
              </a:r>
              <a:r>
                <a:rPr kumimoji="1" lang="en-US" altLang="ja-JP" sz="1400" b="0">
                  <a:solidFill>
                    <a:srgbClr val="00B050"/>
                  </a:solidFill>
                  <a:latin typeface="Consolas" panose="020B0609020204030204" pitchFamily="49" charset="0"/>
                </a:rPr>
                <a:t>MP3</a:t>
              </a:r>
              <a:r>
                <a:rPr kumimoji="1" lang="en-US" altLang="ja-JP" sz="1400" b="0">
                  <a:solidFill>
                    <a:srgbClr val="FF0000"/>
                  </a:solidFill>
                  <a:latin typeface="Consolas" panose="020B0609020204030204" pitchFamily="49" charset="0"/>
                </a:rPr>
                <a:t>_ECU_PN_</a:t>
              </a:r>
              <a:r>
                <a:rPr kumimoji="1" lang="en-US" altLang="ja-JP" sz="1400" b="0">
                  <a:solidFill>
                    <a:schemeClr val="accent6"/>
                  </a:solidFill>
                  <a:latin typeface="Consolas" panose="020B0609020204030204" pitchFamily="49" charset="0"/>
                </a:rPr>
                <a:t>V01</a:t>
              </a:r>
              <a:r>
                <a:rPr kumimoji="1" lang="en-US" altLang="ja-JP" sz="1400" b="0">
                  <a:solidFill>
                    <a:sysClr val="windowText" lastClr="000000"/>
                  </a:solidFill>
                  <a:latin typeface="Consolas" panose="020B0609020204030204" pitchFamily="49" charset="0"/>
                </a:rPr>
                <a:t>.xlsx</a:t>
              </a:r>
              <a:endParaRPr kumimoji="1" lang="ja-JP" altLang="en-US" sz="1400" b="0">
                <a:solidFill>
                  <a:sysClr val="windowText" lastClr="000000"/>
                </a:solidFill>
                <a:latin typeface="Consolas" panose="020B0609020204030204" pitchFamily="49" charset="0"/>
              </a:endParaRPr>
            </a:p>
          </xdr:txBody>
        </xdr:sp>
        <xdr:sp macro="" textlink="">
          <xdr:nvSpPr>
            <xdr:cNvPr id="4" name="右中かっこ 3">
              <a:extLst>
                <a:ext uri="{FF2B5EF4-FFF2-40B4-BE49-F238E27FC236}">
                  <a16:creationId xmlns:a16="http://schemas.microsoft.com/office/drawing/2014/main" id="{F281E249-1790-485B-A683-30BE8B3BD8D6}"/>
                </a:ext>
              </a:extLst>
            </xdr:cNvPr>
            <xdr:cNvSpPr/>
          </xdr:nvSpPr>
          <xdr:spPr>
            <a:xfrm rot="5400000">
              <a:off x="1984238" y="4663800"/>
              <a:ext cx="256475" cy="549360"/>
            </a:xfrm>
            <a:prstGeom prst="rightBrace">
              <a:avLst>
                <a:gd name="adj1" fmla="val 8333"/>
                <a:gd name="adj2" fmla="val 50000"/>
              </a:avLst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362906B3-FBFA-4111-8AC7-F78B7EDB52E0}"/>
                </a:ext>
              </a:extLst>
            </xdr:cNvPr>
            <xdr:cNvSpPr txBox="1"/>
          </xdr:nvSpPr>
          <xdr:spPr>
            <a:xfrm>
              <a:off x="1612214" y="5455397"/>
              <a:ext cx="3782010" cy="2952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kumimoji="1" lang="en-US" altLang="ja-JP" sz="1400" b="1">
                  <a:solidFill>
                    <a:srgbClr val="FF0000"/>
                  </a:solidFill>
                  <a:latin typeface="Consolas" panose="020B0609020204030204" pitchFamily="49" charset="0"/>
                </a:rPr>
                <a:t>Fixed file</a:t>
              </a:r>
              <a:r>
                <a:rPr kumimoji="1" lang="en-US" altLang="ja-JP" sz="1400" b="1" baseline="0">
                  <a:solidFill>
                    <a:srgbClr val="FF0000"/>
                  </a:solidFill>
                  <a:latin typeface="Consolas" panose="020B0609020204030204" pitchFamily="49" charset="0"/>
                </a:rPr>
                <a:t> name for template revision</a:t>
              </a:r>
              <a:endParaRPr kumimoji="1" lang="ja-JP" altLang="en-US" sz="1400" b="1">
                <a:solidFill>
                  <a:srgbClr val="FF0000"/>
                </a:solidFill>
                <a:latin typeface="Consolas" panose="020B0609020204030204" pitchFamily="49" charset="0"/>
              </a:endParaRPr>
            </a:p>
          </xdr:txBody>
        </xdr:sp>
        <xdr:sp macro="" textlink="">
          <xdr:nvSpPr>
            <xdr:cNvPr id="6" name="右中かっこ 5">
              <a:extLst>
                <a:ext uri="{FF2B5EF4-FFF2-40B4-BE49-F238E27FC236}">
                  <a16:creationId xmlns:a16="http://schemas.microsoft.com/office/drawing/2014/main" id="{6F8076B5-1D1A-4731-ADC1-94F7899935C6}"/>
                </a:ext>
              </a:extLst>
            </xdr:cNvPr>
            <xdr:cNvSpPr/>
          </xdr:nvSpPr>
          <xdr:spPr>
            <a:xfrm rot="5400000">
              <a:off x="2557870" y="4755111"/>
              <a:ext cx="255969" cy="345701"/>
            </a:xfrm>
            <a:prstGeom prst="rightBrace">
              <a:avLst>
                <a:gd name="adj1" fmla="val 8333"/>
                <a:gd name="adj2" fmla="val 50000"/>
              </a:avLst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F5E6CC29-291D-4A10-B103-9E5EEA1206AE}"/>
                </a:ext>
              </a:extLst>
            </xdr:cNvPr>
            <xdr:cNvSpPr txBox="1"/>
          </xdr:nvSpPr>
          <xdr:spPr>
            <a:xfrm>
              <a:off x="2238093" y="5198455"/>
              <a:ext cx="1487030" cy="2476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kumimoji="1" lang="en-US" altLang="ja-JP" sz="1400" b="1">
                  <a:solidFill>
                    <a:srgbClr val="0000FF"/>
                  </a:solidFill>
                  <a:latin typeface="Consolas" panose="020B0609020204030204" pitchFamily="49" charset="0"/>
                </a:rPr>
                <a:t>Project name</a:t>
              </a:r>
              <a:endParaRPr kumimoji="1" lang="ja-JP" altLang="en-US" sz="1400" b="1">
                <a:solidFill>
                  <a:srgbClr val="0000FF"/>
                </a:solidFill>
                <a:latin typeface="Consolas" panose="020B0609020204030204" pitchFamily="49" charset="0"/>
              </a:endParaRPr>
            </a:p>
          </xdr:txBody>
        </xdr:sp>
        <xdr:sp macro="" textlink="">
          <xdr:nvSpPr>
            <xdr:cNvPr id="8" name="右中かっこ 7">
              <a:extLst>
                <a:ext uri="{FF2B5EF4-FFF2-40B4-BE49-F238E27FC236}">
                  <a16:creationId xmlns:a16="http://schemas.microsoft.com/office/drawing/2014/main" id="{5D7645B0-8948-4657-96E8-F79280C4DA1A}"/>
                </a:ext>
              </a:extLst>
            </xdr:cNvPr>
            <xdr:cNvSpPr/>
          </xdr:nvSpPr>
          <xdr:spPr>
            <a:xfrm rot="5400000">
              <a:off x="4033706" y="4769605"/>
              <a:ext cx="231320" cy="286419"/>
            </a:xfrm>
            <a:prstGeom prst="rightBrace">
              <a:avLst>
                <a:gd name="adj1" fmla="val 8333"/>
                <a:gd name="adj2" fmla="val 50000"/>
              </a:avLst>
            </a:prstGeom>
            <a:ln>
              <a:solidFill>
                <a:schemeClr val="accent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B08172D5-532A-4756-B09E-1AE658564A7A}"/>
                </a:ext>
              </a:extLst>
            </xdr:cNvPr>
            <xdr:cNvSpPr txBox="1"/>
          </xdr:nvSpPr>
          <xdr:spPr>
            <a:xfrm>
              <a:off x="3806991" y="4986944"/>
              <a:ext cx="1342568" cy="24080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t"/>
            <a:lstStyle/>
            <a:p>
              <a:r>
                <a:rPr kumimoji="1" lang="en-US" altLang="ja-JP" sz="1400" b="1">
                  <a:solidFill>
                    <a:schemeClr val="accent6"/>
                  </a:solidFill>
                  <a:latin typeface="Consolas" panose="020B0609020204030204" pitchFamily="49" charset="0"/>
                </a:rPr>
                <a:t>file version</a:t>
              </a:r>
              <a:endParaRPr kumimoji="1" lang="ja-JP" altLang="en-US" sz="1400" b="1">
                <a:solidFill>
                  <a:schemeClr val="accent6"/>
                </a:solidFill>
                <a:latin typeface="Consolas" panose="020B0609020204030204" pitchFamily="49" charset="0"/>
              </a:endParaRPr>
            </a:p>
          </xdr:txBody>
        </xdr:sp>
      </xdr:grpSp>
      <xdr:sp macro="" textlink="">
        <xdr:nvSpPr>
          <xdr:cNvPr id="18" name="右中かっこ 17">
            <a:extLst>
              <a:ext uri="{FF2B5EF4-FFF2-40B4-BE49-F238E27FC236}">
                <a16:creationId xmlns:a16="http://schemas.microsoft.com/office/drawing/2014/main" id="{415347DC-56EE-444E-9B16-6203B7F94EDC}"/>
              </a:ext>
            </a:extLst>
          </xdr:cNvPr>
          <xdr:cNvSpPr/>
        </xdr:nvSpPr>
        <xdr:spPr>
          <a:xfrm rot="5400000">
            <a:off x="1490657" y="2481258"/>
            <a:ext cx="209547" cy="250839"/>
          </a:xfrm>
          <a:prstGeom prst="rightBrace">
            <a:avLst>
              <a:gd name="adj1" fmla="val 8333"/>
              <a:gd name="adj2" fmla="val 50000"/>
            </a:avLst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9A3D3EFF-6FFE-4E7D-BA2F-0AB9CB801BF5}"/>
              </a:ext>
            </a:extLst>
          </xdr:cNvPr>
          <xdr:cNvSpPr txBox="1"/>
        </xdr:nvSpPr>
        <xdr:spPr>
          <a:xfrm>
            <a:off x="1352538" y="2692402"/>
            <a:ext cx="819162" cy="2989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kumimoji="1" lang="en-US" altLang="ja-JP" sz="1400" b="1">
                <a:solidFill>
                  <a:srgbClr val="00B050"/>
                </a:solidFill>
                <a:latin typeface="Consolas" panose="020B0609020204030204" pitchFamily="49" charset="0"/>
              </a:rPr>
              <a:t>MP No.</a:t>
            </a:r>
            <a:endParaRPr kumimoji="1" lang="ja-JP" altLang="en-US" sz="1400" b="1">
              <a:solidFill>
                <a:srgbClr val="00B050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C71B23E3-F822-4B6F-A490-86BBACF0BA29}"/>
              </a:ext>
            </a:extLst>
          </xdr:cNvPr>
          <xdr:cNvSpPr txBox="1"/>
        </xdr:nvSpPr>
        <xdr:spPr>
          <a:xfrm>
            <a:off x="1660512" y="1882776"/>
            <a:ext cx="2004992" cy="3016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Fixed file</a:t>
            </a:r>
            <a:r>
              <a:rPr kumimoji="1" lang="en-US" altLang="ja-JP" sz="1400" b="1" baseline="0">
                <a:solidFill>
                  <a:srgbClr val="FF0000"/>
                </a:solidFill>
                <a:latin typeface="Consolas" panose="020B0609020204030204" pitchFamily="49" charset="0"/>
              </a:rPr>
              <a:t> name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21" name="右中かっこ 20">
            <a:extLst>
              <a:ext uri="{FF2B5EF4-FFF2-40B4-BE49-F238E27FC236}">
                <a16:creationId xmlns:a16="http://schemas.microsoft.com/office/drawing/2014/main" id="{457AE8A9-F2DF-4B75-96AA-1E240026BF91}"/>
              </a:ext>
            </a:extLst>
          </xdr:cNvPr>
          <xdr:cNvSpPr/>
        </xdr:nvSpPr>
        <xdr:spPr>
          <a:xfrm rot="16200000" flipV="1">
            <a:off x="2027461" y="1941275"/>
            <a:ext cx="224964" cy="584213"/>
          </a:xfrm>
          <a:prstGeom prst="rightBrace">
            <a:avLst>
              <a:gd name="adj1" fmla="val 8333"/>
              <a:gd name="adj2" fmla="val 50000"/>
            </a:avLst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/>
          </a:p>
        </xdr:txBody>
      </xdr: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7BDB06E7-AEBD-41A1-A540-63AA3D969BF2}"/>
              </a:ext>
            </a:extLst>
          </xdr:cNvPr>
          <xdr:cNvCxnSpPr/>
        </xdr:nvCxnSpPr>
        <xdr:spPr>
          <a:xfrm>
            <a:off x="552450" y="2686050"/>
            <a:ext cx="0" cy="45402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50A8109D-295F-43DF-9AC1-3C3012B915C0}"/>
              </a:ext>
            </a:extLst>
          </xdr:cNvPr>
          <xdr:cNvCxnSpPr>
            <a:stCxn id="6" idx="1"/>
          </xdr:cNvCxnSpPr>
        </xdr:nvCxnSpPr>
        <xdr:spPr>
          <a:xfrm>
            <a:off x="1152985" y="2752725"/>
            <a:ext cx="5890" cy="168275"/>
          </a:xfrm>
          <a:prstGeom prst="line">
            <a:avLst/>
          </a:prstGeom>
          <a:ln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11206</xdr:colOff>
      <xdr:row>12</xdr:row>
      <xdr:rowOff>91007</xdr:rowOff>
    </xdr:from>
    <xdr:ext cx="9502589" cy="53652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C716BAD-027D-4A54-87C3-3DE2EBDE3C14}"/>
            </a:ext>
          </a:extLst>
        </xdr:cNvPr>
        <xdr:cNvSpPr txBox="1"/>
      </xdr:nvSpPr>
      <xdr:spPr>
        <a:xfrm>
          <a:off x="341406" y="2078557"/>
          <a:ext cx="9502589" cy="53652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Please refer "</a:t>
          </a:r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Copy Base BOM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" information when new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BOM  is created or BOSCH part number is issued.</a:t>
          </a:r>
          <a:endParaRPr kumimoji="1" lang="en-US" altLang="ja-JP" sz="1400">
            <a:latin typeface="Arial" pitchFamily="34" charset="0"/>
            <a:cs typeface="Arial" pitchFamily="34" charset="0"/>
          </a:endParaRPr>
        </a:p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Otherwise,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non-demand ECU specification will be  delivered to customer.</a:t>
          </a:r>
        </a:p>
      </xdr:txBody>
    </xdr:sp>
    <xdr:clientData/>
  </xdr:oneCellAnchor>
  <xdr:oneCellAnchor>
    <xdr:from>
      <xdr:col>1</xdr:col>
      <xdr:colOff>2</xdr:colOff>
      <xdr:row>34</xdr:row>
      <xdr:rowOff>134469</xdr:rowOff>
    </xdr:from>
    <xdr:ext cx="4616822" cy="178173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6D27066-F0A6-4FE3-99E3-BFCB0DBB0395}"/>
            </a:ext>
          </a:extLst>
        </xdr:cNvPr>
        <xdr:cNvSpPr txBox="1"/>
      </xdr:nvSpPr>
      <xdr:spPr>
        <a:xfrm>
          <a:off x="333377" y="7363944"/>
          <a:ext cx="4616822" cy="178173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Only allowed to use Font "Consolas" in this sheet.</a:t>
          </a:r>
          <a:r>
            <a:rPr kumimoji="1" lang="en-US" altLang="ja-JP" sz="14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</a:t>
          </a:r>
        </a:p>
        <a:p>
          <a:r>
            <a:rPr kumimoji="1" lang="en-US" altLang="ja-JP" sz="14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Reason is to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 distinguish "0"(Zero)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and "O"(Ou)</a:t>
          </a:r>
        </a:p>
      </xdr:txBody>
    </xdr:sp>
    <xdr:clientData/>
  </xdr:oneCellAnchor>
  <xdr:twoCellAnchor editAs="oneCell">
    <xdr:from>
      <xdr:col>1</xdr:col>
      <xdr:colOff>182470</xdr:colOff>
      <xdr:row>37</xdr:row>
      <xdr:rowOff>148851</xdr:rowOff>
    </xdr:from>
    <xdr:to>
      <xdr:col>18</xdr:col>
      <xdr:colOff>111499</xdr:colOff>
      <xdr:row>44</xdr:row>
      <xdr:rowOff>67123</xdr:rowOff>
    </xdr:to>
    <xdr:pic>
      <xdr:nvPicPr>
        <xdr:cNvPr id="4" name="図 3" descr="Creative Cloud：ソフトウェアダウンロードカード購入後の ...">
          <a:extLst>
            <a:ext uri="{FF2B5EF4-FFF2-40B4-BE49-F238E27FC236}">
              <a16:creationId xmlns:a16="http://schemas.microsoft.com/office/drawing/2014/main" id="{C0529F4F-0B26-456F-99E5-592D50AEB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670" y="7918076"/>
          <a:ext cx="3980329" cy="1178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336178</xdr:colOff>
      <xdr:row>4</xdr:row>
      <xdr:rowOff>28756</xdr:rowOff>
    </xdr:from>
    <xdr:to>
      <xdr:col>42</xdr:col>
      <xdr:colOff>1391025</xdr:colOff>
      <xdr:row>9</xdr:row>
      <xdr:rowOff>130248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1132BBB1-3D6D-445D-BFCD-7F3F20DEA374}"/>
            </a:ext>
          </a:extLst>
        </xdr:cNvPr>
        <xdr:cNvGrpSpPr/>
      </xdr:nvGrpSpPr>
      <xdr:grpSpPr>
        <a:xfrm>
          <a:off x="11861428" y="748423"/>
          <a:ext cx="3393764" cy="1001075"/>
          <a:chOff x="9627690" y="7149520"/>
          <a:chExt cx="3385792" cy="986476"/>
        </a:xfrm>
      </xdr:grpSpPr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D9887718-31D0-4CDD-8B3A-B4877FE53AAE}"/>
              </a:ext>
            </a:extLst>
          </xdr:cNvPr>
          <xdr:cNvSpPr txBox="1"/>
        </xdr:nvSpPr>
        <xdr:spPr>
          <a:xfrm>
            <a:off x="9627690" y="7149520"/>
            <a:ext cx="3385792" cy="986476"/>
          </a:xfrm>
          <a:prstGeom prst="rect">
            <a:avLst/>
          </a:prstGeom>
          <a:solidFill>
            <a:srgbClr val="FFFF0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>
            <a:noAutofit/>
          </a:bodyPr>
          <a:lstStyle/>
          <a:p>
            <a:r>
              <a:rPr kumimoji="1" lang="en-US" altLang="ja-JP" sz="1400" b="1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HW team fill-in only "                 " cell</a:t>
            </a:r>
          </a:p>
          <a:p>
            <a:r>
              <a:rPr kumimoji="1" lang="en-US" altLang="ja-JP" sz="1400" b="1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Sales input "             " cell</a:t>
            </a:r>
          </a:p>
          <a:p>
            <a:r>
              <a:rPr kumimoji="1" lang="en-US" altLang="ja-JP" sz="1400" b="1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Please refer to "MPx Instruction" sheet for how to fill it out </a:t>
            </a:r>
            <a:endParaRPr kumimoji="1" lang="en-US" altLang="ja-JP" sz="1400" baseline="0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8C56E110-9707-433D-AD2C-1F342560B2DF}"/>
              </a:ext>
            </a:extLst>
          </xdr:cNvPr>
          <xdr:cNvSpPr txBox="1"/>
        </xdr:nvSpPr>
        <xdr:spPr>
          <a:xfrm>
            <a:off x="11548581" y="7168620"/>
            <a:ext cx="758570" cy="208869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lIns="0" tIns="0" rIns="0" bIns="0" rtlCol="0" anchor="ctr"/>
          <a:lstStyle/>
          <a:p>
            <a:pPr algn="ctr"/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Orange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9CB58987-5F6F-4CFD-813F-153E2E8AAF2B}"/>
              </a:ext>
            </a:extLst>
          </xdr:cNvPr>
          <xdr:cNvSpPr txBox="1"/>
        </xdr:nvSpPr>
        <xdr:spPr>
          <a:xfrm>
            <a:off x="10855337" y="7391081"/>
            <a:ext cx="589056" cy="202836"/>
          </a:xfrm>
          <a:prstGeom prst="rect">
            <a:avLst/>
          </a:prstGeom>
          <a:solidFill>
            <a:srgbClr val="00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lIns="0" tIns="0" rIns="0" bIns="0" rtlCol="0" anchor="ctr"/>
          <a:lstStyle/>
          <a:p>
            <a:pPr algn="ctr"/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Blue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</xdr:grpSp>
    <xdr:clientData/>
  </xdr:twoCellAnchor>
  <xdr:oneCellAnchor>
    <xdr:from>
      <xdr:col>22</xdr:col>
      <xdr:colOff>-1</xdr:colOff>
      <xdr:row>34</xdr:row>
      <xdr:rowOff>112062</xdr:rowOff>
    </xdr:from>
    <xdr:ext cx="11340354" cy="1157378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5A6D8499-3B8A-47D3-95A6-C533C44C1020}"/>
            </a:ext>
          </a:extLst>
        </xdr:cNvPr>
        <xdr:cNvSpPr txBox="1"/>
      </xdr:nvSpPr>
      <xdr:spPr>
        <a:xfrm>
          <a:off x="5333999" y="7341537"/>
          <a:ext cx="11340354" cy="11573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28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To avoid type mis, Copy past should</a:t>
          </a:r>
          <a:r>
            <a:rPr kumimoji="1" lang="en-US" altLang="ja-JP" sz="28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be used as long as possible</a:t>
          </a:r>
        </a:p>
        <a:p>
          <a:r>
            <a:rPr kumimoji="1" lang="en-US" altLang="ja-JP" sz="28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This mis-take cause big problem later process</a:t>
          </a:r>
          <a:endParaRPr kumimoji="1" lang="en-US" altLang="ja-JP" sz="2800" baseline="0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11206</xdr:colOff>
      <xdr:row>12</xdr:row>
      <xdr:rowOff>91007</xdr:rowOff>
    </xdr:from>
    <xdr:ext cx="9502589" cy="53652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89E198D-B5E5-41D8-AF18-8CB5670D24F7}"/>
            </a:ext>
          </a:extLst>
        </xdr:cNvPr>
        <xdr:cNvSpPr txBox="1"/>
      </xdr:nvSpPr>
      <xdr:spPr>
        <a:xfrm>
          <a:off x="347382" y="2063242"/>
          <a:ext cx="9502589" cy="53652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Please refer "</a:t>
          </a:r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Copy Base BOM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" information when new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BOM  is created or BOSCH part number is issued.</a:t>
          </a:r>
          <a:endParaRPr kumimoji="1" lang="en-US" altLang="ja-JP" sz="1400">
            <a:latin typeface="Arial" pitchFamily="34" charset="0"/>
            <a:cs typeface="Arial" pitchFamily="34" charset="0"/>
          </a:endParaRPr>
        </a:p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Otherwise,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non-demand ECU specification will be  delivered to customer.</a:t>
          </a:r>
        </a:p>
      </xdr:txBody>
    </xdr:sp>
    <xdr:clientData/>
  </xdr:oneCellAnchor>
  <xdr:oneCellAnchor>
    <xdr:from>
      <xdr:col>1</xdr:col>
      <xdr:colOff>2</xdr:colOff>
      <xdr:row>34</xdr:row>
      <xdr:rowOff>134469</xdr:rowOff>
    </xdr:from>
    <xdr:ext cx="4616822" cy="178173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A6EA108-77EC-407B-BC7A-5CFE0AD9E036}"/>
            </a:ext>
          </a:extLst>
        </xdr:cNvPr>
        <xdr:cNvSpPr txBox="1"/>
      </xdr:nvSpPr>
      <xdr:spPr>
        <a:xfrm>
          <a:off x="336178" y="7272616"/>
          <a:ext cx="4616822" cy="178173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Only allowed to use Font "Consolas" in this sheet.</a:t>
          </a:r>
          <a:r>
            <a:rPr kumimoji="1" lang="en-US" altLang="ja-JP" sz="14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</a:t>
          </a:r>
        </a:p>
        <a:p>
          <a:r>
            <a:rPr kumimoji="1" lang="en-US" altLang="ja-JP" sz="14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Reason is to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 distinguish "0"(Zero)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and "O"(Ou)</a:t>
          </a:r>
        </a:p>
      </xdr:txBody>
    </xdr:sp>
    <xdr:clientData/>
  </xdr:oneCellAnchor>
  <xdr:twoCellAnchor editAs="oneCell">
    <xdr:from>
      <xdr:col>1</xdr:col>
      <xdr:colOff>182470</xdr:colOff>
      <xdr:row>37</xdr:row>
      <xdr:rowOff>148851</xdr:rowOff>
    </xdr:from>
    <xdr:to>
      <xdr:col>18</xdr:col>
      <xdr:colOff>111499</xdr:colOff>
      <xdr:row>44</xdr:row>
      <xdr:rowOff>56963</xdr:rowOff>
    </xdr:to>
    <xdr:pic>
      <xdr:nvPicPr>
        <xdr:cNvPr id="4" name="図 3" descr="Creative Cloud：ソフトウェアダウンロードカード購入後の ...">
          <a:extLst>
            <a:ext uri="{FF2B5EF4-FFF2-40B4-BE49-F238E27FC236}">
              <a16:creationId xmlns:a16="http://schemas.microsoft.com/office/drawing/2014/main" id="{B102D605-0A01-47CC-BE5F-D204B5301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46" y="7824880"/>
          <a:ext cx="3929529" cy="1163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1086969</xdr:colOff>
      <xdr:row>4</xdr:row>
      <xdr:rowOff>78440</xdr:rowOff>
    </xdr:from>
    <xdr:to>
      <xdr:col>42</xdr:col>
      <xdr:colOff>1467971</xdr:colOff>
      <xdr:row>8</xdr:row>
      <xdr:rowOff>86472</xdr:rowOff>
    </xdr:to>
    <xdr:sp macro="" textlink="">
      <xdr:nvSpPr>
        <xdr:cNvPr id="5" name="吹き出し: 折線 4">
          <a:extLst>
            <a:ext uri="{FF2B5EF4-FFF2-40B4-BE49-F238E27FC236}">
              <a16:creationId xmlns:a16="http://schemas.microsoft.com/office/drawing/2014/main" id="{EB5DCC2E-56AE-4E1C-90E1-534B34350214}"/>
            </a:ext>
          </a:extLst>
        </xdr:cNvPr>
        <xdr:cNvSpPr/>
      </xdr:nvSpPr>
      <xdr:spPr>
        <a:xfrm>
          <a:off x="12718675" y="795616"/>
          <a:ext cx="2723031" cy="72520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61139"/>
            <a:gd name="adj6" fmla="val -58686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Fill-in Title by HW team</a:t>
          </a:r>
        </a:p>
        <a:p>
          <a:pPr algn="l"/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Ex. 66VA MP3 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41</xdr:col>
      <xdr:colOff>1095002</xdr:colOff>
      <xdr:row>10</xdr:row>
      <xdr:rowOff>25587</xdr:rowOff>
    </xdr:from>
    <xdr:to>
      <xdr:col>42</xdr:col>
      <xdr:colOff>1476004</xdr:colOff>
      <xdr:row>14</xdr:row>
      <xdr:rowOff>86472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7F6312B7-3524-4D15-8D66-23120CACB4A3}"/>
            </a:ext>
          </a:extLst>
        </xdr:cNvPr>
        <xdr:cNvSpPr/>
      </xdr:nvSpPr>
      <xdr:spPr>
        <a:xfrm>
          <a:off x="12726708" y="1639234"/>
          <a:ext cx="2723031" cy="77806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36513"/>
            <a:gd name="adj6" fmla="val -12741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Write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link to this file (File storage folder) by 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20</xdr:col>
      <xdr:colOff>78441</xdr:colOff>
      <xdr:row>7</xdr:row>
      <xdr:rowOff>56401</xdr:rowOff>
    </xdr:from>
    <xdr:to>
      <xdr:col>25</xdr:col>
      <xdr:colOff>219636</xdr:colOff>
      <xdr:row>10</xdr:row>
      <xdr:rowOff>73959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E9538585-8752-42E2-AB94-DDA092EB8730}"/>
            </a:ext>
          </a:extLst>
        </xdr:cNvPr>
        <xdr:cNvSpPr/>
      </xdr:nvSpPr>
      <xdr:spPr>
        <a:xfrm>
          <a:off x="4885765" y="1132166"/>
          <a:ext cx="3200400" cy="55544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2335"/>
            <a:gd name="adj6" fmla="val -37666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Fill-in purpose of this parts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No. creation by </a:t>
          </a:r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30</xdr:col>
      <xdr:colOff>8030</xdr:colOff>
      <xdr:row>12</xdr:row>
      <xdr:rowOff>75266</xdr:rowOff>
    </xdr:from>
    <xdr:to>
      <xdr:col>41</xdr:col>
      <xdr:colOff>874058</xdr:colOff>
      <xdr:row>16</xdr:row>
      <xdr:rowOff>0</xdr:rowOff>
    </xdr:to>
    <xdr:sp macro="" textlink="">
      <xdr:nvSpPr>
        <xdr:cNvPr id="8" name="吹き出し: 折線 7">
          <a:extLst>
            <a:ext uri="{FF2B5EF4-FFF2-40B4-BE49-F238E27FC236}">
              <a16:creationId xmlns:a16="http://schemas.microsoft.com/office/drawing/2014/main" id="{4DD7A8BF-714D-412F-AC98-8E15971D1FA2}"/>
            </a:ext>
          </a:extLst>
        </xdr:cNvPr>
        <xdr:cNvSpPr/>
      </xdr:nvSpPr>
      <xdr:spPr>
        <a:xfrm>
          <a:off x="9051177" y="2226795"/>
          <a:ext cx="3454587" cy="64191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266806"/>
            <a:gd name="adj6" fmla="val -51422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Copy past Honda parts number from "System matrix" by 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20</xdr:col>
      <xdr:colOff>9524</xdr:colOff>
      <xdr:row>21</xdr:row>
      <xdr:rowOff>201706</xdr:rowOff>
    </xdr:from>
    <xdr:to>
      <xdr:col>22</xdr:col>
      <xdr:colOff>1781735</xdr:colOff>
      <xdr:row>24</xdr:row>
      <xdr:rowOff>201706</xdr:rowOff>
    </xdr:to>
    <xdr:sp macro="" textlink="">
      <xdr:nvSpPr>
        <xdr:cNvPr id="9" name="吹き出し: 折線 8">
          <a:extLst>
            <a:ext uri="{FF2B5EF4-FFF2-40B4-BE49-F238E27FC236}">
              <a16:creationId xmlns:a16="http://schemas.microsoft.com/office/drawing/2014/main" id="{90A82618-A0A0-47E8-AF3D-4922992BDE9F}"/>
            </a:ext>
          </a:extLst>
        </xdr:cNvPr>
        <xdr:cNvSpPr/>
      </xdr:nvSpPr>
      <xdr:spPr>
        <a:xfrm>
          <a:off x="4816848" y="4796118"/>
          <a:ext cx="2242858" cy="63873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7996"/>
            <a:gd name="adj6" fmla="val -58993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Type HONDA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Drawing number by 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43</xdr:col>
      <xdr:colOff>944469</xdr:colOff>
      <xdr:row>22</xdr:row>
      <xdr:rowOff>11205</xdr:rowOff>
    </xdr:from>
    <xdr:to>
      <xdr:col>44</xdr:col>
      <xdr:colOff>2045821</xdr:colOff>
      <xdr:row>25</xdr:row>
      <xdr:rowOff>169581</xdr:rowOff>
    </xdr:to>
    <xdr:sp macro="" textlink="">
      <xdr:nvSpPr>
        <xdr:cNvPr id="16" name="吹き出し: 折線 15">
          <a:extLst>
            <a:ext uri="{FF2B5EF4-FFF2-40B4-BE49-F238E27FC236}">
              <a16:creationId xmlns:a16="http://schemas.microsoft.com/office/drawing/2014/main" id="{61581645-4F4B-416A-B2E3-F638200BC2C7}"/>
            </a:ext>
          </a:extLst>
        </xdr:cNvPr>
        <xdr:cNvSpPr/>
      </xdr:nvSpPr>
      <xdr:spPr>
        <a:xfrm>
          <a:off x="17260234" y="4527176"/>
          <a:ext cx="3095999" cy="78590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7996"/>
            <a:gd name="adj6" fmla="val -96274"/>
          </a:avLst>
        </a:prstGeom>
        <a:solidFill>
          <a:srgbClr val="00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Sales copy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past </a:t>
          </a:r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registered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RB series parts number from system 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42</xdr:col>
      <xdr:colOff>2140324</xdr:colOff>
      <xdr:row>11</xdr:row>
      <xdr:rowOff>28951</xdr:rowOff>
    </xdr:from>
    <xdr:to>
      <xdr:col>43</xdr:col>
      <xdr:colOff>1759325</xdr:colOff>
      <xdr:row>15</xdr:row>
      <xdr:rowOff>86661</xdr:rowOff>
    </xdr:to>
    <xdr:sp macro="" textlink="">
      <xdr:nvSpPr>
        <xdr:cNvPr id="17" name="吹き出し: 折線 16">
          <a:extLst>
            <a:ext uri="{FF2B5EF4-FFF2-40B4-BE49-F238E27FC236}">
              <a16:creationId xmlns:a16="http://schemas.microsoft.com/office/drawing/2014/main" id="{CB8792FF-01E1-4599-AE18-29EB783786F5}"/>
            </a:ext>
          </a:extLst>
        </xdr:cNvPr>
        <xdr:cNvSpPr/>
      </xdr:nvSpPr>
      <xdr:spPr>
        <a:xfrm>
          <a:off x="16114059" y="2001186"/>
          <a:ext cx="1961031" cy="774887"/>
        </a:xfrm>
        <a:prstGeom prst="borderCallout2">
          <a:avLst>
            <a:gd name="adj1" fmla="val 38831"/>
            <a:gd name="adj2" fmla="val 99110"/>
            <a:gd name="adj3" fmla="val 104464"/>
            <a:gd name="adj4" fmla="val 109376"/>
            <a:gd name="adj5" fmla="val 245045"/>
            <a:gd name="adj6" fmla="val 102073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Write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Copy base BOM by HW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44</xdr:col>
      <xdr:colOff>705971</xdr:colOff>
      <xdr:row>11</xdr:row>
      <xdr:rowOff>16063</xdr:rowOff>
    </xdr:from>
    <xdr:to>
      <xdr:col>45</xdr:col>
      <xdr:colOff>112059</xdr:colOff>
      <xdr:row>15</xdr:row>
      <xdr:rowOff>136153</xdr:rowOff>
    </xdr:to>
    <xdr:sp macro="" textlink="">
      <xdr:nvSpPr>
        <xdr:cNvPr id="18" name="吹き出し: 折線 17">
          <a:extLst>
            <a:ext uri="{FF2B5EF4-FFF2-40B4-BE49-F238E27FC236}">
              <a16:creationId xmlns:a16="http://schemas.microsoft.com/office/drawing/2014/main" id="{827D333A-9EA7-45DA-9407-A0750B275255}"/>
            </a:ext>
          </a:extLst>
        </xdr:cNvPr>
        <xdr:cNvSpPr/>
      </xdr:nvSpPr>
      <xdr:spPr>
        <a:xfrm>
          <a:off x="19016383" y="1988298"/>
          <a:ext cx="2218764" cy="837267"/>
        </a:xfrm>
        <a:prstGeom prst="borderCallout2">
          <a:avLst>
            <a:gd name="adj1" fmla="val 18750"/>
            <a:gd name="adj2" fmla="val -8333"/>
            <a:gd name="adj3" fmla="val 47321"/>
            <a:gd name="adj4" fmla="val -15844"/>
            <a:gd name="adj5" fmla="val 224886"/>
            <a:gd name="adj6" fmla="val -22073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Fill-in comment of Base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 BOM by HW</a:t>
          </a:r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45</xdr:col>
      <xdr:colOff>1114240</xdr:colOff>
      <xdr:row>10</xdr:row>
      <xdr:rowOff>78441</xdr:rowOff>
    </xdr:from>
    <xdr:to>
      <xdr:col>46</xdr:col>
      <xdr:colOff>372970</xdr:colOff>
      <xdr:row>15</xdr:row>
      <xdr:rowOff>25587</xdr:rowOff>
    </xdr:to>
    <xdr:sp macro="" textlink="">
      <xdr:nvSpPr>
        <xdr:cNvPr id="19" name="吹き出し: 折線 18">
          <a:extLst>
            <a:ext uri="{FF2B5EF4-FFF2-40B4-BE49-F238E27FC236}">
              <a16:creationId xmlns:a16="http://schemas.microsoft.com/office/drawing/2014/main" id="{5CCC6288-E0B4-4842-B78F-089B8EED8051}"/>
            </a:ext>
          </a:extLst>
        </xdr:cNvPr>
        <xdr:cNvSpPr/>
      </xdr:nvSpPr>
      <xdr:spPr>
        <a:xfrm>
          <a:off x="22237328" y="1871382"/>
          <a:ext cx="2149848" cy="843617"/>
        </a:xfrm>
        <a:prstGeom prst="borderCallout2">
          <a:avLst>
            <a:gd name="adj1" fmla="val 18750"/>
            <a:gd name="adj2" fmla="val -8333"/>
            <a:gd name="adj3" fmla="val 47321"/>
            <a:gd name="adj4" fmla="val -15844"/>
            <a:gd name="adj5" fmla="val 231463"/>
            <a:gd name="adj6" fmla="val -30999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Fill-in free comment </a:t>
          </a:r>
          <a:r>
            <a:rPr kumimoji="1" lang="en-US" altLang="ja-JP" sz="1400" baseline="0">
              <a:solidFill>
                <a:sysClr val="windowText" lastClr="000000"/>
              </a:solidFill>
              <a:latin typeface="Consolas" panose="020B0609020204030204" pitchFamily="49" charset="0"/>
            </a:rPr>
            <a:t>by HW</a:t>
          </a:r>
          <a:r>
            <a:rPr kumimoji="1" lang="en-US" altLang="ja-JP" sz="1400">
              <a:solidFill>
                <a:sysClr val="windowText" lastClr="000000"/>
              </a:solidFill>
              <a:latin typeface="Consolas" panose="020B0609020204030204" pitchFamily="49" charset="0"/>
            </a:rPr>
            <a:t> team</a:t>
          </a:r>
          <a:endParaRPr kumimoji="1" lang="ja-JP" altLang="en-US" sz="1400">
            <a:solidFill>
              <a:sysClr val="windowText" lastClr="00000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25</xdr:col>
      <xdr:colOff>8031</xdr:colOff>
      <xdr:row>19</xdr:row>
      <xdr:rowOff>87965</xdr:rowOff>
    </xdr:from>
    <xdr:to>
      <xdr:col>40</xdr:col>
      <xdr:colOff>219264</xdr:colOff>
      <xdr:row>25</xdr:row>
      <xdr:rowOff>78440</xdr:rowOff>
    </xdr:to>
    <xdr:sp macro="" textlink="">
      <xdr:nvSpPr>
        <xdr:cNvPr id="20" name="吹き出し: 折線 19">
          <a:extLst>
            <a:ext uri="{FF2B5EF4-FFF2-40B4-BE49-F238E27FC236}">
              <a16:creationId xmlns:a16="http://schemas.microsoft.com/office/drawing/2014/main" id="{9789F40E-4CE0-4C6E-B5E6-C90AA25497B9}"/>
            </a:ext>
          </a:extLst>
        </xdr:cNvPr>
        <xdr:cNvSpPr/>
      </xdr:nvSpPr>
      <xdr:spPr>
        <a:xfrm>
          <a:off x="7874560" y="4234141"/>
          <a:ext cx="3741086" cy="1301564"/>
        </a:xfrm>
        <a:prstGeom prst="borderCallout2">
          <a:avLst>
            <a:gd name="adj1" fmla="val 18750"/>
            <a:gd name="adj2" fmla="val -8333"/>
            <a:gd name="adj3" fmla="val 18750"/>
            <a:gd name="adj4" fmla="val -10377"/>
            <a:gd name="adj5" fmla="val -31667"/>
            <a:gd name="adj6" fmla="val -15414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Copy paste</a:t>
          </a:r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 HONDA Parts No.(Complete digit) into RACE product release by sales. </a:t>
          </a:r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 </a:t>
          </a:r>
        </a:p>
        <a:p>
          <a:pPr algn="l"/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It is countermeasure of 66VA Label</a:t>
          </a:r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 miss-print problem at 2022/07</a:t>
          </a:r>
          <a:endParaRPr kumimoji="1" lang="ja-JP" altLang="en-US" sz="1400">
            <a:solidFill>
              <a:srgbClr val="FF0000"/>
            </a:solidFill>
            <a:latin typeface="Consolas" panose="020B0609020204030204" pitchFamily="49" charset="0"/>
          </a:endParaRPr>
        </a:p>
      </xdr:txBody>
    </xdr:sp>
    <xdr:clientData/>
  </xdr:twoCellAnchor>
  <xdr:oneCellAnchor>
    <xdr:from>
      <xdr:col>22</xdr:col>
      <xdr:colOff>-1</xdr:colOff>
      <xdr:row>34</xdr:row>
      <xdr:rowOff>112062</xdr:rowOff>
    </xdr:from>
    <xdr:ext cx="11340354" cy="1157378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D3051E2B-3942-4B4E-9BE1-C96BB0AD4F97}"/>
            </a:ext>
          </a:extLst>
        </xdr:cNvPr>
        <xdr:cNvSpPr txBox="1"/>
      </xdr:nvSpPr>
      <xdr:spPr>
        <a:xfrm>
          <a:off x="5277970" y="7250209"/>
          <a:ext cx="11340354" cy="11573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28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To avoid type mis, Copy past should</a:t>
          </a:r>
          <a:r>
            <a:rPr kumimoji="1" lang="en-US" altLang="ja-JP" sz="28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be used as long as possible</a:t>
          </a:r>
        </a:p>
        <a:p>
          <a:r>
            <a:rPr kumimoji="1" lang="en-US" altLang="ja-JP" sz="28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This mis-take cause big problem later process</a:t>
          </a:r>
          <a:endParaRPr kumimoji="1" lang="en-US" altLang="ja-JP" sz="2800" baseline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41</xdr:col>
      <xdr:colOff>334496</xdr:colOff>
      <xdr:row>30</xdr:row>
      <xdr:rowOff>46317</xdr:rowOff>
    </xdr:from>
    <xdr:to>
      <xdr:col>43</xdr:col>
      <xdr:colOff>761999</xdr:colOff>
      <xdr:row>34</xdr:row>
      <xdr:rowOff>145676</xdr:rowOff>
    </xdr:to>
    <xdr:sp macro="" textlink="">
      <xdr:nvSpPr>
        <xdr:cNvPr id="22" name="吹き出し: 折線 21">
          <a:extLst>
            <a:ext uri="{FF2B5EF4-FFF2-40B4-BE49-F238E27FC236}">
              <a16:creationId xmlns:a16="http://schemas.microsoft.com/office/drawing/2014/main" id="{FC05E28F-51E7-419D-9D07-B86F48AAC2FD}"/>
            </a:ext>
          </a:extLst>
        </xdr:cNvPr>
        <xdr:cNvSpPr/>
      </xdr:nvSpPr>
      <xdr:spPr>
        <a:xfrm>
          <a:off x="11966202" y="6590552"/>
          <a:ext cx="5111562" cy="100703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8970"/>
            <a:gd name="adj6" fmla="val -4556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This "Space" is important</a:t>
          </a:r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 for Honda parts number.</a:t>
          </a:r>
        </a:p>
        <a:p>
          <a:pPr algn="l"/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Series part number is replaced from "alphabet" to "Space" This is Honda series parts number rule.</a:t>
          </a:r>
        </a:p>
        <a:p>
          <a:pPr algn="l"/>
          <a:r>
            <a:rPr kumimoji="1" lang="en-US" altLang="ja-JP" sz="1400" baseline="0">
              <a:solidFill>
                <a:srgbClr val="FF0000"/>
              </a:solidFill>
              <a:latin typeface="Consolas" panose="020B0609020204030204" pitchFamily="49" charset="0"/>
            </a:rPr>
            <a:t>EX. 37820-66VA-J030-M6 =&gt; 37820-66V -J030-M6</a:t>
          </a:r>
          <a:endParaRPr kumimoji="1" lang="ja-JP" altLang="en-US" sz="1400">
            <a:solidFill>
              <a:srgbClr val="FF0000"/>
            </a:solidFill>
            <a:latin typeface="Consolas" panose="020B0609020204030204" pitchFamily="49" charset="0"/>
          </a:endParaRPr>
        </a:p>
      </xdr:txBody>
    </xdr:sp>
    <xdr:clientData/>
  </xdr:twoCellAnchor>
  <xdr:twoCellAnchor editAs="oneCell">
    <xdr:from>
      <xdr:col>42</xdr:col>
      <xdr:colOff>1669677</xdr:colOff>
      <xdr:row>3</xdr:row>
      <xdr:rowOff>83299</xdr:rowOff>
    </xdr:from>
    <xdr:to>
      <xdr:col>44</xdr:col>
      <xdr:colOff>714001</xdr:colOff>
      <xdr:row>8</xdr:row>
      <xdr:rowOff>161739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BE78D9AE-EC06-4BD3-88B9-648073F9ADC5}"/>
            </a:ext>
          </a:extLst>
        </xdr:cNvPr>
        <xdr:cNvGrpSpPr/>
      </xdr:nvGrpSpPr>
      <xdr:grpSpPr>
        <a:xfrm>
          <a:off x="15482795" y="621181"/>
          <a:ext cx="3369794" cy="974911"/>
          <a:chOff x="9627690" y="7149520"/>
          <a:chExt cx="3385792" cy="968337"/>
        </a:xfrm>
      </xdr:grpSpPr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633E9968-3A9A-4D2F-B2A8-2C33D8E8E2F4}"/>
              </a:ext>
            </a:extLst>
          </xdr:cNvPr>
          <xdr:cNvSpPr txBox="1"/>
        </xdr:nvSpPr>
        <xdr:spPr>
          <a:xfrm>
            <a:off x="9627690" y="7149520"/>
            <a:ext cx="3385792" cy="968337"/>
          </a:xfrm>
          <a:prstGeom prst="rect">
            <a:avLst/>
          </a:prstGeom>
          <a:solidFill>
            <a:srgbClr val="FFFF0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>
            <a:noAutofit/>
          </a:bodyPr>
          <a:lstStyle/>
          <a:p>
            <a:r>
              <a:rPr kumimoji="1" lang="en-US" altLang="ja-JP" sz="1400" b="1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HW team fill-in only "                 " cell</a:t>
            </a:r>
          </a:p>
          <a:p>
            <a:r>
              <a:rPr kumimoji="1" lang="en-US" altLang="ja-JP" sz="1400" b="1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Sales input "             " cell</a:t>
            </a:r>
          </a:p>
          <a:p>
            <a:r>
              <a:rPr kumimoji="1" lang="en-US" altLang="ja-JP" sz="1400" b="1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Please refer to "MPx Instruction" sheet for how to fill it out </a:t>
            </a:r>
            <a:endParaRPr kumimoji="1" lang="en-US" altLang="ja-JP" sz="1400" baseline="0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271B3AD9-EA5A-4F57-BA20-E4FB138B2B28}"/>
              </a:ext>
            </a:extLst>
          </xdr:cNvPr>
          <xdr:cNvSpPr txBox="1"/>
        </xdr:nvSpPr>
        <xdr:spPr>
          <a:xfrm>
            <a:off x="11548581" y="7168620"/>
            <a:ext cx="758570" cy="208869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lIns="0" tIns="0" rIns="0" bIns="0" rtlCol="0" anchor="ctr"/>
          <a:lstStyle/>
          <a:p>
            <a:pPr algn="ctr"/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Orange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9B0BACA2-68C3-4EDB-BEAC-1A9B8DFB376A}"/>
              </a:ext>
            </a:extLst>
          </xdr:cNvPr>
          <xdr:cNvSpPr txBox="1"/>
        </xdr:nvSpPr>
        <xdr:spPr>
          <a:xfrm>
            <a:off x="10855337" y="7391081"/>
            <a:ext cx="589056" cy="202836"/>
          </a:xfrm>
          <a:prstGeom prst="rect">
            <a:avLst/>
          </a:prstGeom>
          <a:solidFill>
            <a:srgbClr val="00FFFF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lIns="0" tIns="0" rIns="0" bIns="0" rtlCol="0" anchor="ctr"/>
          <a:lstStyle/>
          <a:p>
            <a:pPr algn="ctr"/>
            <a:r>
              <a:rPr kumimoji="1" lang="en-US" altLang="ja-JP" sz="1400" b="1">
                <a:solidFill>
                  <a:srgbClr val="FF0000"/>
                </a:solidFill>
                <a:latin typeface="Consolas" panose="020B0609020204030204" pitchFamily="49" charset="0"/>
              </a:rPr>
              <a:t>Blue</a:t>
            </a:r>
            <a:endParaRPr kumimoji="1" lang="ja-JP" altLang="en-US" sz="1400" b="1">
              <a:solidFill>
                <a:srgbClr val="FF0000"/>
              </a:solidFill>
              <a:latin typeface="Consolas" panose="020B0609020204030204" pitchFamily="49" charset="0"/>
            </a:endParaRPr>
          </a:p>
        </xdr:txBody>
      </xdr:sp>
    </xdr:grpSp>
    <xdr:clientData/>
  </xdr:twoCellAnchor>
  <xdr:twoCellAnchor>
    <xdr:from>
      <xdr:col>44</xdr:col>
      <xdr:colOff>874058</xdr:colOff>
      <xdr:row>0</xdr:row>
      <xdr:rowOff>112059</xdr:rowOff>
    </xdr:from>
    <xdr:to>
      <xdr:col>45</xdr:col>
      <xdr:colOff>2521322</xdr:colOff>
      <xdr:row>3</xdr:row>
      <xdr:rowOff>126440</xdr:rowOff>
    </xdr:to>
    <xdr:sp macro="" textlink="">
      <xdr:nvSpPr>
        <xdr:cNvPr id="27" name="吹き出し: 折線 26">
          <a:extLst>
            <a:ext uri="{FF2B5EF4-FFF2-40B4-BE49-F238E27FC236}">
              <a16:creationId xmlns:a16="http://schemas.microsoft.com/office/drawing/2014/main" id="{5ABFFBFE-BC25-4455-AF99-DA5AA9E5ED19}"/>
            </a:ext>
          </a:extLst>
        </xdr:cNvPr>
        <xdr:cNvSpPr/>
      </xdr:nvSpPr>
      <xdr:spPr>
        <a:xfrm>
          <a:off x="19184470" y="112059"/>
          <a:ext cx="4459940" cy="552263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53931"/>
            <a:gd name="adj6" fmla="val -2443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rgbClr val="FF0000"/>
              </a:solidFill>
              <a:latin typeface="Consolas" panose="020B0609020204030204" pitchFamily="49" charset="0"/>
            </a:rPr>
            <a:t>This data come from "Changed history" input data automatically</a:t>
          </a:r>
          <a:endParaRPr kumimoji="1" lang="ja-JP" altLang="en-US" sz="1400">
            <a:solidFill>
              <a:srgbClr val="FF0000"/>
            </a:solidFill>
            <a:latin typeface="Consolas" panose="020B0609020204030204" pitchFamily="49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</xdr:row>
      <xdr:rowOff>46182</xdr:rowOff>
    </xdr:from>
    <xdr:ext cx="9502589" cy="62592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00182" y="8716818"/>
          <a:ext cx="9502589" cy="62592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noAutofit/>
        </a:bodyPr>
        <a:lstStyle/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Please refer "</a:t>
          </a:r>
          <a:r>
            <a:rPr kumimoji="1" lang="en-US" altLang="ja-JP" sz="14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Copy Base BOM</a:t>
          </a:r>
          <a:r>
            <a:rPr kumimoji="1" lang="en-US" altLang="ja-JP" sz="1400">
              <a:latin typeface="Arial" pitchFamily="34" charset="0"/>
              <a:cs typeface="Arial" pitchFamily="34" charset="0"/>
            </a:rPr>
            <a:t>" information when new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BOM  is created or BOSCH part number is issued.</a:t>
          </a:r>
          <a:endParaRPr kumimoji="1" lang="en-US" altLang="ja-JP" sz="1400">
            <a:latin typeface="Arial" pitchFamily="34" charset="0"/>
            <a:cs typeface="Arial" pitchFamily="34" charset="0"/>
          </a:endParaRPr>
        </a:p>
        <a:p>
          <a:r>
            <a:rPr kumimoji="1" lang="en-US" altLang="ja-JP" sz="1400">
              <a:latin typeface="Arial" pitchFamily="34" charset="0"/>
              <a:cs typeface="Arial" pitchFamily="34" charset="0"/>
            </a:rPr>
            <a:t>Otherwise,</a:t>
          </a:r>
          <a:r>
            <a:rPr kumimoji="1" lang="en-US" altLang="ja-JP" sz="1400" baseline="0">
              <a:latin typeface="Arial" pitchFamily="34" charset="0"/>
              <a:cs typeface="Arial" pitchFamily="34" charset="0"/>
            </a:rPr>
            <a:t> non-demand ECU specification will be  delivered to customer.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ites.inside-share3.bosch.com/sites/107525/Documents/Common/08_Drawings/04_MED1793/22_66VA_2YN-R/04_MP3_MP2/03_PN_Info/H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ites.inside-share3.bosch.com/sites/107525/Documents/Common/08_Drawings/04_MED1793/22_66VA_2YN-R/04_MP3_MP2/03_PN_Info/H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23D3-044B-4D9F-930C-06C2C2E3E3B7}">
  <dimension ref="A1:G29"/>
  <sheetViews>
    <sheetView workbookViewId="0"/>
  </sheetViews>
  <sheetFormatPr defaultColWidth="8.4140625" defaultRowHeight="14.5"/>
  <cols>
    <col min="1" max="1" width="8.58203125" style="37" bestFit="1" customWidth="1"/>
    <col min="2" max="2" width="11.4140625" style="37" bestFit="1" customWidth="1"/>
    <col min="3" max="3" width="49.9140625" style="37" customWidth="1"/>
    <col min="4" max="4" width="28.9140625" style="37" customWidth="1"/>
    <col min="5" max="5" width="34.5" style="37" customWidth="1"/>
    <col min="6" max="6" width="28.9140625" style="37" customWidth="1"/>
    <col min="7" max="16384" width="8.4140625" style="37"/>
  </cols>
  <sheetData>
    <row r="1" spans="1:7">
      <c r="A1" s="34" t="s">
        <v>75</v>
      </c>
      <c r="B1" s="35"/>
      <c r="C1" s="36"/>
      <c r="D1" s="35"/>
      <c r="E1" s="35"/>
      <c r="F1" s="35"/>
    </row>
    <row r="2" spans="1:7" ht="15" thickBot="1">
      <c r="A2" s="38" t="s">
        <v>76</v>
      </c>
      <c r="B2" s="38" t="s">
        <v>67</v>
      </c>
      <c r="C2" s="38" t="s">
        <v>68</v>
      </c>
      <c r="D2" s="38" t="s">
        <v>69</v>
      </c>
      <c r="E2" s="38" t="s">
        <v>70</v>
      </c>
      <c r="F2" s="38" t="s">
        <v>71</v>
      </c>
      <c r="G2" s="37" t="str">
        <f ca="1">INDIRECT(CONCATENATE("A",(COUNTA(A1:A10))))</f>
        <v>r01</v>
      </c>
    </row>
    <row r="3" spans="1:7" ht="15" thickTop="1">
      <c r="A3" s="39" t="s">
        <v>77</v>
      </c>
      <c r="B3" s="40">
        <v>44777</v>
      </c>
      <c r="C3" s="41" t="s">
        <v>78</v>
      </c>
      <c r="D3" s="42" t="s">
        <v>72</v>
      </c>
      <c r="E3" s="39"/>
      <c r="F3" s="39" t="s">
        <v>72</v>
      </c>
    </row>
    <row r="4" spans="1:7">
      <c r="A4" s="43"/>
      <c r="B4" s="40"/>
      <c r="C4" s="44"/>
      <c r="D4" s="42"/>
      <c r="E4" s="45"/>
      <c r="F4" s="45"/>
    </row>
    <row r="5" spans="1:7">
      <c r="A5" s="43"/>
      <c r="B5" s="40"/>
      <c r="C5" s="46"/>
      <c r="D5" s="42"/>
      <c r="E5" s="42"/>
      <c r="F5" s="42"/>
    </row>
    <row r="6" spans="1:7">
      <c r="A6" s="43"/>
      <c r="B6" s="40"/>
      <c r="C6" s="46"/>
      <c r="D6" s="42"/>
      <c r="E6" s="42"/>
      <c r="F6" s="42"/>
    </row>
    <row r="7" spans="1:7">
      <c r="A7" s="43"/>
      <c r="B7" s="40"/>
      <c r="C7" s="46"/>
      <c r="D7" s="42"/>
      <c r="E7" s="42"/>
      <c r="F7" s="42"/>
    </row>
    <row r="8" spans="1:7">
      <c r="A8" s="45"/>
      <c r="B8" s="45"/>
      <c r="C8" s="47"/>
      <c r="D8" s="45"/>
      <c r="E8" s="45"/>
      <c r="F8" s="45"/>
    </row>
    <row r="9" spans="1:7">
      <c r="C9" s="48"/>
    </row>
    <row r="10" spans="1:7">
      <c r="C10" s="48"/>
    </row>
    <row r="11" spans="1:7">
      <c r="C11" s="48"/>
    </row>
    <row r="12" spans="1:7">
      <c r="C12" s="48"/>
    </row>
    <row r="13" spans="1:7">
      <c r="C13" s="48"/>
    </row>
    <row r="14" spans="1:7">
      <c r="C14" s="48"/>
    </row>
    <row r="15" spans="1:7">
      <c r="C15" s="48"/>
      <c r="E15" s="49"/>
    </row>
    <row r="16" spans="1:7">
      <c r="C16" s="48"/>
    </row>
    <row r="17" spans="1:5">
      <c r="C17" s="48"/>
    </row>
    <row r="18" spans="1:5">
      <c r="C18" s="48"/>
    </row>
    <row r="19" spans="1:5">
      <c r="C19" s="48"/>
    </row>
    <row r="20" spans="1:5">
      <c r="C20" s="48"/>
      <c r="E20" s="50"/>
    </row>
    <row r="21" spans="1:5">
      <c r="C21" s="48"/>
      <c r="E21" s="70" t="s">
        <v>80</v>
      </c>
    </row>
    <row r="22" spans="1:5">
      <c r="A22" s="64" t="str">
        <f ca="1">INDIRECT(CONCATENATE("A",(COUNTA(A24:A29)+23)))</f>
        <v>V01</v>
      </c>
      <c r="B22" s="65">
        <f ca="1">INDIRECT(CONCATENATE("B",(COUNTA(B24:B29)+23)))</f>
        <v>45660</v>
      </c>
      <c r="C22" s="51"/>
      <c r="D22" s="65" t="str">
        <f ca="1">INDIRECT(CONCATENATE("D",(COUNTA(D24:D29)+23)))</f>
        <v>Vajapeyi S B (MS/EEM11-PS-PC)</v>
      </c>
    </row>
    <row r="23" spans="1:5" ht="15" thickBot="1">
      <c r="A23" s="52" t="s">
        <v>66</v>
      </c>
      <c r="B23" s="52" t="s">
        <v>67</v>
      </c>
      <c r="C23" s="52" t="s">
        <v>73</v>
      </c>
      <c r="D23" s="52" t="s">
        <v>69</v>
      </c>
      <c r="E23" s="52" t="s">
        <v>70</v>
      </c>
    </row>
    <row r="24" spans="1:5" ht="29.5" thickTop="1">
      <c r="A24" s="92" t="s">
        <v>74</v>
      </c>
      <c r="B24" s="93">
        <v>45660</v>
      </c>
      <c r="C24" s="96" t="s">
        <v>153</v>
      </c>
      <c r="D24" s="95" t="s">
        <v>154</v>
      </c>
      <c r="E24" s="96" t="s">
        <v>155</v>
      </c>
    </row>
    <row r="25" spans="1:5">
      <c r="A25" s="92"/>
      <c r="B25" s="93"/>
      <c r="C25" s="96"/>
      <c r="D25" s="95"/>
      <c r="E25" s="96"/>
    </row>
    <row r="26" spans="1:5">
      <c r="A26" s="92"/>
      <c r="B26" s="93"/>
      <c r="C26" s="94"/>
      <c r="D26" s="95"/>
      <c r="E26" s="96"/>
    </row>
    <row r="27" spans="1:5">
      <c r="A27" s="92"/>
      <c r="B27" s="93"/>
      <c r="C27" s="96"/>
      <c r="D27" s="95"/>
      <c r="E27" s="95"/>
    </row>
    <row r="29" spans="1:5">
      <c r="B29" s="49"/>
    </row>
  </sheetData>
  <phoneticPr fontId="3"/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A809-A6A8-4C9D-8002-999F41365AFF}">
  <dimension ref="A1:AU34"/>
  <sheetViews>
    <sheetView tabSelected="1" zoomScale="60" zoomScaleNormal="60" workbookViewId="0">
      <pane xSplit="41" ySplit="17" topLeftCell="AP18" activePane="bottomRight" state="frozen"/>
      <selection pane="topRight" activeCell="P1" sqref="P1"/>
      <selection pane="bottomLeft" activeCell="A15" sqref="A15"/>
      <selection pane="bottomRight" activeCell="AR20" sqref="AR20"/>
    </sheetView>
  </sheetViews>
  <sheetFormatPr defaultColWidth="8.9140625" defaultRowHeight="14.25" customHeight="1"/>
  <cols>
    <col min="1" max="1" width="4.4140625" style="1" customWidth="1"/>
    <col min="2" max="22" width="3.08203125" style="1" customWidth="1"/>
    <col min="23" max="23" width="27.6640625" style="1" bestFit="1" customWidth="1"/>
    <col min="24" max="41" width="3.08203125" style="1" customWidth="1"/>
    <col min="42" max="43" width="30.6640625" style="1" bestFit="1" customWidth="1"/>
    <col min="44" max="44" width="26.08203125" style="1" bestFit="1" customWidth="1"/>
    <col min="45" max="45" width="36.9140625" style="1" bestFit="1" customWidth="1"/>
    <col min="46" max="46" width="38" style="1" customWidth="1"/>
    <col min="47" max="47" width="27.9140625" style="1" customWidth="1"/>
    <col min="48" max="16384" width="8.9140625" style="1"/>
  </cols>
  <sheetData>
    <row r="1" spans="2:47" ht="14.25" customHeight="1" thickBot="1">
      <c r="AL1" s="53" t="s">
        <v>79</v>
      </c>
      <c r="AM1" s="106" t="str">
        <f ca="1">'Changed history'!G2</f>
        <v>r01</v>
      </c>
      <c r="AN1" s="106"/>
    </row>
    <row r="2" spans="2:47" ht="14.25" customHeight="1">
      <c r="B2" s="107" t="s">
        <v>156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9"/>
      <c r="AP2" s="66" t="s">
        <v>81</v>
      </c>
      <c r="AQ2" s="67" t="s">
        <v>82</v>
      </c>
      <c r="AR2" s="67" t="s">
        <v>83</v>
      </c>
      <c r="AU2" s="3"/>
    </row>
    <row r="3" spans="2:47" ht="14.25" customHeight="1" thickBot="1">
      <c r="B3" s="110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2"/>
      <c r="AP3" s="68" t="str">
        <f ca="1">'Changed history'!A22</f>
        <v>V01</v>
      </c>
      <c r="AQ3" s="69">
        <f ca="1">'Changed history'!B22</f>
        <v>45660</v>
      </c>
      <c r="AR3" s="69" t="str">
        <f ca="1">'Changed history'!D22</f>
        <v>Vajapeyi S B (MS/EEM11-PS-PC)</v>
      </c>
      <c r="AU3" s="3"/>
    </row>
    <row r="4" spans="2:47" ht="14.25" customHeight="1">
      <c r="B4" s="113" t="s">
        <v>145</v>
      </c>
      <c r="C4" s="113"/>
      <c r="D4" s="113"/>
      <c r="E4" s="113"/>
      <c r="F4" s="113"/>
      <c r="G4" s="113"/>
      <c r="H4" s="113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60"/>
      <c r="AQ4" s="60"/>
      <c r="AR4" s="60"/>
    </row>
    <row r="5" spans="2:47" ht="14.25" customHeight="1">
      <c r="B5" s="114" t="s">
        <v>157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60"/>
      <c r="AQ5" s="60"/>
      <c r="AR5" s="60"/>
    </row>
    <row r="6" spans="2:47" ht="14.15" customHeight="1"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60"/>
      <c r="AQ6" s="60"/>
      <c r="AR6" s="60"/>
    </row>
    <row r="7" spans="2:47" ht="14.15" customHeight="1"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60"/>
      <c r="AQ7" s="60"/>
      <c r="AR7" s="60"/>
    </row>
    <row r="8" spans="2:47" ht="14.25" customHeight="1"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60"/>
      <c r="AQ8" s="60"/>
      <c r="AR8" s="60"/>
    </row>
    <row r="9" spans="2:47" ht="14.25" customHeight="1"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115" t="s">
        <v>80</v>
      </c>
      <c r="AH9" s="116"/>
      <c r="AI9" s="116"/>
      <c r="AJ9" s="116"/>
      <c r="AK9" s="116"/>
      <c r="AL9" s="116"/>
      <c r="AM9" s="116"/>
      <c r="AN9" s="116"/>
      <c r="AO9" s="117"/>
      <c r="AP9" s="60"/>
      <c r="AQ9" s="60"/>
      <c r="AR9" s="60"/>
    </row>
    <row r="10" spans="2:47" ht="14.25" customHeight="1">
      <c r="AG10" s="103" t="s">
        <v>144</v>
      </c>
      <c r="AH10" s="104"/>
      <c r="AI10" s="104"/>
      <c r="AJ10" s="104"/>
      <c r="AK10" s="104"/>
      <c r="AL10" s="104"/>
      <c r="AM10" s="104"/>
      <c r="AN10" s="104"/>
      <c r="AO10" s="105"/>
    </row>
    <row r="11" spans="2:47" ht="14.5">
      <c r="B11" s="1" t="s">
        <v>0</v>
      </c>
    </row>
    <row r="12" spans="2:47" ht="14.5">
      <c r="B12" s="121" t="s">
        <v>158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/>
    </row>
    <row r="16" spans="2:47" ht="14.25" customHeight="1" thickBot="1"/>
    <row r="17" spans="1:46" s="8" customFormat="1" ht="74.150000000000006" customHeight="1" thickBot="1">
      <c r="B17" s="122" t="s">
        <v>11</v>
      </c>
      <c r="C17" s="123"/>
      <c r="D17" s="123"/>
      <c r="E17" s="123"/>
      <c r="F17" s="123"/>
      <c r="G17" s="123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97" t="s">
        <v>147</v>
      </c>
      <c r="X17" s="125" t="s">
        <v>149</v>
      </c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3"/>
      <c r="AP17" s="55" t="s">
        <v>94</v>
      </c>
      <c r="AQ17" s="55" t="s">
        <v>98</v>
      </c>
      <c r="AR17" s="99" t="s">
        <v>85</v>
      </c>
      <c r="AS17" s="59" t="s">
        <v>143</v>
      </c>
      <c r="AT17" s="62" t="s">
        <v>1</v>
      </c>
    </row>
    <row r="18" spans="1:46" ht="18">
      <c r="A18" s="127" t="s">
        <v>91</v>
      </c>
      <c r="B18" s="128">
        <v>3</v>
      </c>
      <c r="C18" s="131">
        <v>7</v>
      </c>
      <c r="D18" s="131">
        <v>8</v>
      </c>
      <c r="E18" s="131">
        <v>2</v>
      </c>
      <c r="F18" s="131">
        <v>0</v>
      </c>
      <c r="G18" s="131" t="s">
        <v>6</v>
      </c>
      <c r="H18" s="118">
        <v>6</v>
      </c>
      <c r="I18" s="118">
        <v>2</v>
      </c>
      <c r="J18" s="118" t="s">
        <v>150</v>
      </c>
      <c r="K18" s="118"/>
      <c r="L18" s="131" t="s">
        <v>6</v>
      </c>
      <c r="M18" s="118" t="s">
        <v>152</v>
      </c>
      <c r="N18" s="118" t="s">
        <v>150</v>
      </c>
      <c r="O18" s="118">
        <v>1</v>
      </c>
      <c r="P18" s="118">
        <v>0</v>
      </c>
      <c r="Q18" s="131" t="s">
        <v>6</v>
      </c>
      <c r="R18" s="131" t="s">
        <v>88</v>
      </c>
      <c r="S18" s="131">
        <v>6</v>
      </c>
      <c r="T18" s="131" t="s">
        <v>90</v>
      </c>
      <c r="U18" s="131">
        <v>6</v>
      </c>
      <c r="V18" s="131" t="s">
        <v>148</v>
      </c>
      <c r="W18" s="71" t="s">
        <v>161</v>
      </c>
      <c r="X18" s="57" t="str">
        <f t="shared" ref="X18:AG21" si="0">MID($W18,COLUMN(A1),1)</f>
        <v>3</v>
      </c>
      <c r="Y18" s="57" t="str">
        <f t="shared" si="0"/>
        <v>7</v>
      </c>
      <c r="Z18" s="57" t="str">
        <f t="shared" si="0"/>
        <v>8</v>
      </c>
      <c r="AA18" s="57" t="str">
        <f t="shared" si="0"/>
        <v>2</v>
      </c>
      <c r="AB18" s="57" t="str">
        <f t="shared" si="0"/>
        <v>0</v>
      </c>
      <c r="AC18" s="57" t="str">
        <f t="shared" si="0"/>
        <v>-</v>
      </c>
      <c r="AD18" s="57" t="str">
        <f t="shared" si="0"/>
        <v>6</v>
      </c>
      <c r="AE18" s="57" t="str">
        <f t="shared" si="0"/>
        <v>2</v>
      </c>
      <c r="AF18" s="57" t="str">
        <f t="shared" si="0"/>
        <v>X</v>
      </c>
      <c r="AG18" s="57" t="str">
        <f t="shared" si="0"/>
        <v xml:space="preserve"> </v>
      </c>
      <c r="AH18" s="57" t="str">
        <f t="shared" ref="AH18:AO21" si="1">MID($W18,COLUMN(K1),1)</f>
        <v>-</v>
      </c>
      <c r="AI18" s="57" t="str">
        <f t="shared" si="1"/>
        <v>M</v>
      </c>
      <c r="AJ18" s="57" t="str">
        <f t="shared" si="1"/>
        <v>D</v>
      </c>
      <c r="AK18" s="57" t="str">
        <f t="shared" si="1"/>
        <v>1</v>
      </c>
      <c r="AL18" s="57" t="str">
        <f t="shared" si="1"/>
        <v>0</v>
      </c>
      <c r="AM18" s="57" t="str">
        <f t="shared" si="1"/>
        <v>-</v>
      </c>
      <c r="AN18" s="57" t="str">
        <f t="shared" si="1"/>
        <v>M</v>
      </c>
      <c r="AO18" s="57" t="str">
        <f t="shared" si="1"/>
        <v>6</v>
      </c>
      <c r="AP18" s="74" t="s">
        <v>168</v>
      </c>
      <c r="AQ18" s="74" t="s">
        <v>174</v>
      </c>
      <c r="AR18" s="100" t="s">
        <v>165</v>
      </c>
      <c r="AS18" s="76" t="s">
        <v>166</v>
      </c>
      <c r="AT18" s="77" t="s">
        <v>151</v>
      </c>
    </row>
    <row r="19" spans="1:46" ht="18">
      <c r="A19" s="127"/>
      <c r="B19" s="129"/>
      <c r="C19" s="132"/>
      <c r="D19" s="132"/>
      <c r="E19" s="132"/>
      <c r="F19" s="132"/>
      <c r="G19" s="132"/>
      <c r="H19" s="119"/>
      <c r="I19" s="119"/>
      <c r="J19" s="119"/>
      <c r="K19" s="119"/>
      <c r="L19" s="132"/>
      <c r="M19" s="119"/>
      <c r="N19" s="119"/>
      <c r="O19" s="119"/>
      <c r="P19" s="119"/>
      <c r="Q19" s="132"/>
      <c r="R19" s="132"/>
      <c r="S19" s="132"/>
      <c r="T19" s="132"/>
      <c r="U19" s="132"/>
      <c r="V19" s="132"/>
      <c r="W19" s="72" t="s">
        <v>159</v>
      </c>
      <c r="X19" s="56" t="str">
        <f t="shared" si="0"/>
        <v>3</v>
      </c>
      <c r="Y19" s="56" t="str">
        <f t="shared" si="0"/>
        <v>7</v>
      </c>
      <c r="Z19" s="56" t="str">
        <f t="shared" si="0"/>
        <v>8</v>
      </c>
      <c r="AA19" s="56" t="str">
        <f t="shared" si="0"/>
        <v>2</v>
      </c>
      <c r="AB19" s="56" t="str">
        <f t="shared" si="0"/>
        <v>0</v>
      </c>
      <c r="AC19" s="56" t="str">
        <f t="shared" si="0"/>
        <v>-</v>
      </c>
      <c r="AD19" s="56" t="str">
        <f t="shared" si="0"/>
        <v>6</v>
      </c>
      <c r="AE19" s="56" t="str">
        <f t="shared" si="0"/>
        <v>2</v>
      </c>
      <c r="AF19" s="56" t="str">
        <f t="shared" si="0"/>
        <v>X</v>
      </c>
      <c r="AG19" s="56" t="str">
        <f t="shared" si="0"/>
        <v xml:space="preserve"> </v>
      </c>
      <c r="AH19" s="56" t="str">
        <f t="shared" si="1"/>
        <v>-</v>
      </c>
      <c r="AI19" s="56" t="str">
        <f t="shared" si="1"/>
        <v>M</v>
      </c>
      <c r="AJ19" s="56" t="str">
        <f t="shared" si="1"/>
        <v>E</v>
      </c>
      <c r="AK19" s="56" t="str">
        <f t="shared" si="1"/>
        <v>1</v>
      </c>
      <c r="AL19" s="56" t="str">
        <f t="shared" si="1"/>
        <v>0</v>
      </c>
      <c r="AM19" s="56" t="str">
        <f t="shared" si="1"/>
        <v>-</v>
      </c>
      <c r="AN19" s="56" t="str">
        <f t="shared" si="1"/>
        <v>M</v>
      </c>
      <c r="AO19" s="56" t="str">
        <f t="shared" si="1"/>
        <v>6</v>
      </c>
      <c r="AP19" s="78" t="s">
        <v>169</v>
      </c>
      <c r="AQ19" s="78" t="s">
        <v>175</v>
      </c>
      <c r="AR19" s="75" t="s">
        <v>165</v>
      </c>
      <c r="AS19" s="79" t="s">
        <v>166</v>
      </c>
      <c r="AT19" s="80" t="s">
        <v>151</v>
      </c>
    </row>
    <row r="20" spans="1:46" ht="18">
      <c r="A20" s="127"/>
      <c r="B20" s="129"/>
      <c r="C20" s="132"/>
      <c r="D20" s="132"/>
      <c r="E20" s="132"/>
      <c r="F20" s="132"/>
      <c r="G20" s="132"/>
      <c r="H20" s="119"/>
      <c r="I20" s="119"/>
      <c r="J20" s="119"/>
      <c r="K20" s="119"/>
      <c r="L20" s="132"/>
      <c r="M20" s="119"/>
      <c r="N20" s="119"/>
      <c r="O20" s="119"/>
      <c r="P20" s="119"/>
      <c r="Q20" s="132"/>
      <c r="R20" s="132"/>
      <c r="S20" s="132"/>
      <c r="T20" s="132"/>
      <c r="U20" s="132"/>
      <c r="V20" s="132"/>
      <c r="W20" s="72" t="s">
        <v>160</v>
      </c>
      <c r="X20" s="56" t="str">
        <f t="shared" si="0"/>
        <v>3</v>
      </c>
      <c r="Y20" s="56" t="str">
        <f t="shared" si="0"/>
        <v>7</v>
      </c>
      <c r="Z20" s="56" t="str">
        <f t="shared" si="0"/>
        <v>8</v>
      </c>
      <c r="AA20" s="56" t="str">
        <f t="shared" si="0"/>
        <v>2</v>
      </c>
      <c r="AB20" s="56" t="str">
        <f t="shared" si="0"/>
        <v>0</v>
      </c>
      <c r="AC20" s="56" t="str">
        <f t="shared" si="0"/>
        <v>-</v>
      </c>
      <c r="AD20" s="56" t="str">
        <f t="shared" si="0"/>
        <v>6</v>
      </c>
      <c r="AE20" s="56" t="str">
        <f t="shared" si="0"/>
        <v>2</v>
      </c>
      <c r="AF20" s="56" t="str">
        <f t="shared" si="0"/>
        <v>X</v>
      </c>
      <c r="AG20" s="56" t="str">
        <f t="shared" si="0"/>
        <v xml:space="preserve"> </v>
      </c>
      <c r="AH20" s="56" t="str">
        <f t="shared" si="1"/>
        <v>-</v>
      </c>
      <c r="AI20" s="56" t="str">
        <f t="shared" si="1"/>
        <v>M</v>
      </c>
      <c r="AJ20" s="56" t="str">
        <f t="shared" si="1"/>
        <v>F</v>
      </c>
      <c r="AK20" s="56" t="str">
        <f t="shared" si="1"/>
        <v>1</v>
      </c>
      <c r="AL20" s="56" t="str">
        <f t="shared" si="1"/>
        <v>0</v>
      </c>
      <c r="AM20" s="56" t="str">
        <f t="shared" si="1"/>
        <v>-</v>
      </c>
      <c r="AN20" s="56" t="str">
        <f t="shared" si="1"/>
        <v>M</v>
      </c>
      <c r="AO20" s="56" t="str">
        <f t="shared" si="1"/>
        <v>6</v>
      </c>
      <c r="AP20" s="78" t="s">
        <v>170</v>
      </c>
      <c r="AQ20" s="78" t="s">
        <v>176</v>
      </c>
      <c r="AR20" s="75" t="s">
        <v>165</v>
      </c>
      <c r="AS20" s="79" t="s">
        <v>167</v>
      </c>
      <c r="AT20" s="80" t="s">
        <v>151</v>
      </c>
    </row>
    <row r="21" spans="1:46" ht="18">
      <c r="A21" s="127"/>
      <c r="B21" s="129"/>
      <c r="C21" s="132"/>
      <c r="D21" s="132"/>
      <c r="E21" s="132"/>
      <c r="F21" s="132"/>
      <c r="G21" s="132"/>
      <c r="H21" s="119"/>
      <c r="I21" s="119"/>
      <c r="J21" s="119"/>
      <c r="K21" s="119"/>
      <c r="L21" s="132"/>
      <c r="M21" s="119"/>
      <c r="N21" s="119"/>
      <c r="O21" s="119"/>
      <c r="P21" s="119"/>
      <c r="Q21" s="132"/>
      <c r="R21" s="132"/>
      <c r="S21" s="132"/>
      <c r="T21" s="132"/>
      <c r="U21" s="132"/>
      <c r="V21" s="132"/>
      <c r="W21" s="72" t="s">
        <v>162</v>
      </c>
      <c r="X21" s="56" t="str">
        <f t="shared" si="0"/>
        <v>3</v>
      </c>
      <c r="Y21" s="56" t="str">
        <f t="shared" si="0"/>
        <v>7</v>
      </c>
      <c r="Z21" s="56" t="str">
        <f t="shared" si="0"/>
        <v>8</v>
      </c>
      <c r="AA21" s="56" t="str">
        <f t="shared" si="0"/>
        <v>2</v>
      </c>
      <c r="AB21" s="56" t="str">
        <f t="shared" si="0"/>
        <v>0</v>
      </c>
      <c r="AC21" s="56" t="str">
        <f t="shared" si="0"/>
        <v>-</v>
      </c>
      <c r="AD21" s="56" t="str">
        <f t="shared" si="0"/>
        <v>6</v>
      </c>
      <c r="AE21" s="56" t="str">
        <f t="shared" si="0"/>
        <v>2</v>
      </c>
      <c r="AF21" s="56" t="str">
        <f t="shared" si="0"/>
        <v>X</v>
      </c>
      <c r="AG21" s="56" t="str">
        <f t="shared" si="0"/>
        <v xml:space="preserve"> </v>
      </c>
      <c r="AH21" s="56" t="str">
        <f t="shared" si="1"/>
        <v>-</v>
      </c>
      <c r="AI21" s="56" t="str">
        <f t="shared" si="1"/>
        <v>M</v>
      </c>
      <c r="AJ21" s="56" t="str">
        <f t="shared" si="1"/>
        <v>G</v>
      </c>
      <c r="AK21" s="56" t="str">
        <f t="shared" si="1"/>
        <v>1</v>
      </c>
      <c r="AL21" s="56" t="str">
        <f t="shared" si="1"/>
        <v>0</v>
      </c>
      <c r="AM21" s="56" t="str">
        <f t="shared" si="1"/>
        <v>-</v>
      </c>
      <c r="AN21" s="56" t="str">
        <f t="shared" si="1"/>
        <v>M</v>
      </c>
      <c r="AO21" s="56" t="str">
        <f t="shared" si="1"/>
        <v>6</v>
      </c>
      <c r="AP21" s="81" t="s">
        <v>171</v>
      </c>
      <c r="AQ21" s="81" t="s">
        <v>177</v>
      </c>
      <c r="AR21" s="82" t="s">
        <v>165</v>
      </c>
      <c r="AS21" s="79" t="s">
        <v>167</v>
      </c>
      <c r="AT21" s="80" t="s">
        <v>151</v>
      </c>
    </row>
    <row r="22" spans="1:46" ht="18.5" thickBot="1">
      <c r="A22" s="127"/>
      <c r="B22" s="130"/>
      <c r="C22" s="133"/>
      <c r="D22" s="133"/>
      <c r="E22" s="133"/>
      <c r="F22" s="133"/>
      <c r="G22" s="133"/>
      <c r="H22" s="120"/>
      <c r="I22" s="120"/>
      <c r="J22" s="120"/>
      <c r="K22" s="120"/>
      <c r="L22" s="133"/>
      <c r="M22" s="120"/>
      <c r="N22" s="120"/>
      <c r="O22" s="120"/>
      <c r="P22" s="120"/>
      <c r="Q22" s="133"/>
      <c r="R22" s="133"/>
      <c r="S22" s="133"/>
      <c r="T22" s="133"/>
      <c r="U22" s="133"/>
      <c r="V22" s="133"/>
      <c r="W22" s="73" t="s">
        <v>163</v>
      </c>
      <c r="X22" s="58" t="str">
        <f>MID($W22,COLUMN(A5),1)</f>
        <v>3</v>
      </c>
      <c r="Y22" s="58" t="str">
        <f t="shared" ref="Y22:AO22" si="2">MID($W22,COLUMN(B4),1)</f>
        <v>7</v>
      </c>
      <c r="Z22" s="58" t="str">
        <f t="shared" si="2"/>
        <v>8</v>
      </c>
      <c r="AA22" s="58" t="str">
        <f t="shared" si="2"/>
        <v>2</v>
      </c>
      <c r="AB22" s="58" t="str">
        <f t="shared" si="2"/>
        <v>0</v>
      </c>
      <c r="AC22" s="58" t="str">
        <f t="shared" si="2"/>
        <v>-</v>
      </c>
      <c r="AD22" s="58" t="str">
        <f t="shared" si="2"/>
        <v>6</v>
      </c>
      <c r="AE22" s="58" t="str">
        <f t="shared" si="2"/>
        <v>2</v>
      </c>
      <c r="AF22" s="58" t="str">
        <f t="shared" si="2"/>
        <v>X</v>
      </c>
      <c r="AG22" s="58" t="str">
        <f t="shared" si="2"/>
        <v xml:space="preserve"> </v>
      </c>
      <c r="AH22" s="58" t="str">
        <f t="shared" si="2"/>
        <v>-</v>
      </c>
      <c r="AI22" s="58" t="str">
        <f t="shared" si="2"/>
        <v>M</v>
      </c>
      <c r="AJ22" s="58" t="str">
        <f t="shared" si="2"/>
        <v>H</v>
      </c>
      <c r="AK22" s="58" t="str">
        <f t="shared" si="2"/>
        <v>1</v>
      </c>
      <c r="AL22" s="58" t="str">
        <f t="shared" si="2"/>
        <v>0</v>
      </c>
      <c r="AM22" s="58" t="str">
        <f t="shared" si="2"/>
        <v>-</v>
      </c>
      <c r="AN22" s="58" t="str">
        <f t="shared" si="2"/>
        <v>M</v>
      </c>
      <c r="AO22" s="58" t="str">
        <f t="shared" si="2"/>
        <v>6</v>
      </c>
      <c r="AP22" s="83" t="s">
        <v>172</v>
      </c>
      <c r="AQ22" s="83" t="s">
        <v>178</v>
      </c>
      <c r="AR22" s="101" t="s">
        <v>165</v>
      </c>
      <c r="AS22" s="85" t="s">
        <v>166</v>
      </c>
      <c r="AT22" s="86" t="s">
        <v>151</v>
      </c>
    </row>
    <row r="23" spans="1:46" ht="14.25" customHeight="1" thickBot="1"/>
    <row r="24" spans="1:46" ht="18">
      <c r="A24" s="127" t="s">
        <v>92</v>
      </c>
      <c r="B24" s="128">
        <v>3</v>
      </c>
      <c r="C24" s="131">
        <v>7</v>
      </c>
      <c r="D24" s="131">
        <v>8</v>
      </c>
      <c r="E24" s="131">
        <v>2</v>
      </c>
      <c r="F24" s="131">
        <v>0</v>
      </c>
      <c r="G24" s="131" t="s">
        <v>6</v>
      </c>
      <c r="H24" s="118">
        <v>6</v>
      </c>
      <c r="I24" s="118">
        <v>2</v>
      </c>
      <c r="J24" s="118" t="s">
        <v>150</v>
      </c>
      <c r="K24" s="118"/>
      <c r="L24" s="131" t="s">
        <v>6</v>
      </c>
      <c r="M24" s="118" t="s">
        <v>152</v>
      </c>
      <c r="N24" s="118" t="s">
        <v>150</v>
      </c>
      <c r="O24" s="118">
        <v>1</v>
      </c>
      <c r="P24" s="118">
        <v>0</v>
      </c>
      <c r="Q24" s="131" t="s">
        <v>6</v>
      </c>
      <c r="R24" s="131" t="s">
        <v>88</v>
      </c>
      <c r="S24" s="131">
        <v>6</v>
      </c>
      <c r="T24" s="131" t="s">
        <v>90</v>
      </c>
      <c r="U24" s="131">
        <v>6</v>
      </c>
      <c r="V24" s="131" t="s">
        <v>148</v>
      </c>
      <c r="W24" s="71" t="s">
        <v>164</v>
      </c>
      <c r="X24" s="57" t="str">
        <f t="shared" ref="X24:AG26" si="3">MID($W24,COLUMN(A8),1)</f>
        <v>3</v>
      </c>
      <c r="Y24" s="57" t="str">
        <f t="shared" si="3"/>
        <v>7</v>
      </c>
      <c r="Z24" s="57" t="str">
        <f t="shared" si="3"/>
        <v>8</v>
      </c>
      <c r="AA24" s="57" t="str">
        <f t="shared" si="3"/>
        <v>2</v>
      </c>
      <c r="AB24" s="57" t="str">
        <f t="shared" si="3"/>
        <v>0</v>
      </c>
      <c r="AC24" s="57" t="str">
        <f t="shared" si="3"/>
        <v>-</v>
      </c>
      <c r="AD24" s="57" t="str">
        <f t="shared" si="3"/>
        <v>6</v>
      </c>
      <c r="AE24" s="57" t="str">
        <f t="shared" si="3"/>
        <v>2</v>
      </c>
      <c r="AF24" s="57" t="str">
        <f t="shared" si="3"/>
        <v>X</v>
      </c>
      <c r="AG24" s="57" t="str">
        <f t="shared" si="3"/>
        <v xml:space="preserve"> </v>
      </c>
      <c r="AH24" s="57" t="str">
        <f t="shared" ref="AH24:AO26" si="4">MID($W24,COLUMN(K8),1)</f>
        <v>-</v>
      </c>
      <c r="AI24" s="57" t="str">
        <f t="shared" si="4"/>
        <v>M</v>
      </c>
      <c r="AJ24" s="57" t="str">
        <f t="shared" si="4"/>
        <v>J</v>
      </c>
      <c r="AK24" s="57" t="str">
        <f t="shared" si="4"/>
        <v>1</v>
      </c>
      <c r="AL24" s="57" t="str">
        <f t="shared" si="4"/>
        <v>0</v>
      </c>
      <c r="AM24" s="57" t="str">
        <f t="shared" si="4"/>
        <v>-</v>
      </c>
      <c r="AN24" s="57" t="str">
        <f t="shared" si="4"/>
        <v>M</v>
      </c>
      <c r="AO24" s="57" t="str">
        <f t="shared" si="4"/>
        <v>6</v>
      </c>
      <c r="AP24" s="74" t="s">
        <v>173</v>
      </c>
      <c r="AQ24" s="74" t="s">
        <v>179</v>
      </c>
      <c r="AR24" s="102" t="s">
        <v>165</v>
      </c>
      <c r="AS24" s="76" t="s">
        <v>167</v>
      </c>
      <c r="AT24" s="88" t="s">
        <v>151</v>
      </c>
    </row>
    <row r="25" spans="1:46" ht="18">
      <c r="A25" s="127"/>
      <c r="B25" s="129"/>
      <c r="C25" s="132"/>
      <c r="D25" s="132"/>
      <c r="E25" s="132"/>
      <c r="F25" s="132"/>
      <c r="G25" s="132"/>
      <c r="H25" s="119"/>
      <c r="I25" s="119"/>
      <c r="J25" s="119"/>
      <c r="K25" s="119"/>
      <c r="L25" s="132"/>
      <c r="M25" s="119"/>
      <c r="N25" s="119"/>
      <c r="O25" s="119"/>
      <c r="P25" s="119"/>
      <c r="Q25" s="132"/>
      <c r="R25" s="132"/>
      <c r="S25" s="132"/>
      <c r="T25" s="132"/>
      <c r="U25" s="132"/>
      <c r="V25" s="132"/>
      <c r="W25" s="72"/>
      <c r="X25" s="56" t="str">
        <f t="shared" si="3"/>
        <v/>
      </c>
      <c r="Y25" s="56" t="str">
        <f t="shared" si="3"/>
        <v/>
      </c>
      <c r="Z25" s="56" t="str">
        <f t="shared" si="3"/>
        <v/>
      </c>
      <c r="AA25" s="56" t="str">
        <f t="shared" si="3"/>
        <v/>
      </c>
      <c r="AB25" s="56" t="str">
        <f t="shared" si="3"/>
        <v/>
      </c>
      <c r="AC25" s="56" t="str">
        <f t="shared" si="3"/>
        <v/>
      </c>
      <c r="AD25" s="56" t="str">
        <f t="shared" si="3"/>
        <v/>
      </c>
      <c r="AE25" s="56" t="str">
        <f t="shared" si="3"/>
        <v/>
      </c>
      <c r="AF25" s="56" t="str">
        <f t="shared" si="3"/>
        <v/>
      </c>
      <c r="AG25" s="56" t="str">
        <f t="shared" si="3"/>
        <v/>
      </c>
      <c r="AH25" s="56" t="str">
        <f t="shared" si="4"/>
        <v/>
      </c>
      <c r="AI25" s="56" t="str">
        <f t="shared" si="4"/>
        <v/>
      </c>
      <c r="AJ25" s="56" t="str">
        <f t="shared" si="4"/>
        <v/>
      </c>
      <c r="AK25" s="56" t="str">
        <f t="shared" si="4"/>
        <v/>
      </c>
      <c r="AL25" s="56" t="str">
        <f t="shared" si="4"/>
        <v/>
      </c>
      <c r="AM25" s="56" t="str">
        <f t="shared" si="4"/>
        <v/>
      </c>
      <c r="AN25" s="56" t="str">
        <f t="shared" si="4"/>
        <v/>
      </c>
      <c r="AO25" s="56" t="str">
        <f t="shared" si="4"/>
        <v/>
      </c>
      <c r="AP25" s="89"/>
      <c r="AQ25" s="89"/>
      <c r="AR25" s="75"/>
      <c r="AS25" s="79"/>
      <c r="AT25" s="80"/>
    </row>
    <row r="26" spans="1:46" ht="18">
      <c r="A26" s="127"/>
      <c r="B26" s="129"/>
      <c r="C26" s="132"/>
      <c r="D26" s="132"/>
      <c r="E26" s="132"/>
      <c r="F26" s="132"/>
      <c r="G26" s="132"/>
      <c r="H26" s="119"/>
      <c r="I26" s="119"/>
      <c r="J26" s="119"/>
      <c r="K26" s="119"/>
      <c r="L26" s="132"/>
      <c r="M26" s="119"/>
      <c r="N26" s="119"/>
      <c r="O26" s="119"/>
      <c r="P26" s="119"/>
      <c r="Q26" s="132"/>
      <c r="R26" s="132"/>
      <c r="S26" s="132"/>
      <c r="T26" s="132"/>
      <c r="U26" s="132"/>
      <c r="V26" s="132"/>
      <c r="W26" s="72"/>
      <c r="X26" s="56" t="str">
        <f t="shared" si="3"/>
        <v/>
      </c>
      <c r="Y26" s="56" t="str">
        <f t="shared" si="3"/>
        <v/>
      </c>
      <c r="Z26" s="56" t="str">
        <f t="shared" si="3"/>
        <v/>
      </c>
      <c r="AA26" s="56" t="str">
        <f t="shared" si="3"/>
        <v/>
      </c>
      <c r="AB26" s="56" t="str">
        <f t="shared" si="3"/>
        <v/>
      </c>
      <c r="AC26" s="56" t="str">
        <f t="shared" si="3"/>
        <v/>
      </c>
      <c r="AD26" s="56" t="str">
        <f t="shared" si="3"/>
        <v/>
      </c>
      <c r="AE26" s="56" t="str">
        <f t="shared" si="3"/>
        <v/>
      </c>
      <c r="AF26" s="56" t="str">
        <f t="shared" si="3"/>
        <v/>
      </c>
      <c r="AG26" s="56" t="str">
        <f t="shared" si="3"/>
        <v/>
      </c>
      <c r="AH26" s="56" t="str">
        <f t="shared" si="4"/>
        <v/>
      </c>
      <c r="AI26" s="56" t="str">
        <f t="shared" si="4"/>
        <v/>
      </c>
      <c r="AJ26" s="56" t="str">
        <f t="shared" si="4"/>
        <v/>
      </c>
      <c r="AK26" s="56" t="str">
        <f t="shared" si="4"/>
        <v/>
      </c>
      <c r="AL26" s="56" t="str">
        <f t="shared" si="4"/>
        <v/>
      </c>
      <c r="AM26" s="56" t="str">
        <f t="shared" si="4"/>
        <v/>
      </c>
      <c r="AN26" s="56" t="str">
        <f t="shared" si="4"/>
        <v/>
      </c>
      <c r="AO26" s="56" t="str">
        <f t="shared" si="4"/>
        <v/>
      </c>
      <c r="AP26" s="78"/>
      <c r="AQ26" s="78"/>
      <c r="AR26" s="75"/>
      <c r="AS26" s="79"/>
      <c r="AT26" s="80"/>
    </row>
    <row r="27" spans="1:46" ht="18">
      <c r="A27" s="127"/>
      <c r="B27" s="129"/>
      <c r="C27" s="132"/>
      <c r="D27" s="132"/>
      <c r="E27" s="132"/>
      <c r="F27" s="132"/>
      <c r="G27" s="132"/>
      <c r="H27" s="119"/>
      <c r="I27" s="119"/>
      <c r="J27" s="119"/>
      <c r="K27" s="119"/>
      <c r="L27" s="132"/>
      <c r="M27" s="119"/>
      <c r="N27" s="119"/>
      <c r="O27" s="119"/>
      <c r="P27" s="119"/>
      <c r="Q27" s="132"/>
      <c r="R27" s="132"/>
      <c r="S27" s="132"/>
      <c r="T27" s="132"/>
      <c r="U27" s="132"/>
      <c r="V27" s="132"/>
      <c r="W27" s="72"/>
      <c r="X27" s="56" t="str">
        <f>MID($W27,COLUMN(A11),1)</f>
        <v/>
      </c>
      <c r="Y27" s="56" t="str">
        <f t="shared" ref="Y27:AO27" si="5">MID($W27,COLUMN(B11),1)</f>
        <v/>
      </c>
      <c r="Z27" s="56" t="str">
        <f t="shared" si="5"/>
        <v/>
      </c>
      <c r="AA27" s="56" t="str">
        <f t="shared" si="5"/>
        <v/>
      </c>
      <c r="AB27" s="56" t="str">
        <f t="shared" si="5"/>
        <v/>
      </c>
      <c r="AC27" s="56" t="str">
        <f t="shared" si="5"/>
        <v/>
      </c>
      <c r="AD27" s="56" t="str">
        <f t="shared" si="5"/>
        <v/>
      </c>
      <c r="AE27" s="56" t="str">
        <f t="shared" si="5"/>
        <v/>
      </c>
      <c r="AF27" s="56" t="str">
        <f t="shared" si="5"/>
        <v/>
      </c>
      <c r="AG27" s="56" t="str">
        <f t="shared" si="5"/>
        <v/>
      </c>
      <c r="AH27" s="56" t="str">
        <f t="shared" si="5"/>
        <v/>
      </c>
      <c r="AI27" s="56" t="str">
        <f t="shared" si="5"/>
        <v/>
      </c>
      <c r="AJ27" s="56" t="str">
        <f t="shared" si="5"/>
        <v/>
      </c>
      <c r="AK27" s="56" t="str">
        <f t="shared" si="5"/>
        <v/>
      </c>
      <c r="AL27" s="56" t="str">
        <f t="shared" si="5"/>
        <v/>
      </c>
      <c r="AM27" s="56" t="str">
        <f t="shared" si="5"/>
        <v/>
      </c>
      <c r="AN27" s="56" t="str">
        <f t="shared" si="5"/>
        <v/>
      </c>
      <c r="AO27" s="56" t="str">
        <f t="shared" si="5"/>
        <v/>
      </c>
      <c r="AP27" s="78"/>
      <c r="AQ27" s="81"/>
      <c r="AR27" s="75"/>
      <c r="AS27" s="79"/>
      <c r="AT27" s="80"/>
    </row>
    <row r="28" spans="1:46" ht="18.5" thickBot="1">
      <c r="A28" s="127"/>
      <c r="B28" s="130"/>
      <c r="C28" s="133"/>
      <c r="D28" s="133"/>
      <c r="E28" s="133"/>
      <c r="F28" s="133"/>
      <c r="G28" s="133"/>
      <c r="H28" s="120"/>
      <c r="I28" s="120"/>
      <c r="J28" s="120"/>
      <c r="K28" s="120"/>
      <c r="L28" s="133"/>
      <c r="M28" s="120"/>
      <c r="N28" s="120"/>
      <c r="O28" s="120"/>
      <c r="P28" s="120"/>
      <c r="Q28" s="133"/>
      <c r="R28" s="133"/>
      <c r="S28" s="133"/>
      <c r="T28" s="133"/>
      <c r="U28" s="133"/>
      <c r="V28" s="133"/>
      <c r="W28" s="73"/>
      <c r="X28" s="58" t="str">
        <f>MID($W28,COLUMN(A12),1)</f>
        <v/>
      </c>
      <c r="Y28" s="58" t="str">
        <f t="shared" ref="Y28:AO28" si="6">MID($W28,COLUMN(B11),1)</f>
        <v/>
      </c>
      <c r="Z28" s="58" t="str">
        <f t="shared" si="6"/>
        <v/>
      </c>
      <c r="AA28" s="58" t="str">
        <f t="shared" si="6"/>
        <v/>
      </c>
      <c r="AB28" s="58" t="str">
        <f t="shared" si="6"/>
        <v/>
      </c>
      <c r="AC28" s="58" t="str">
        <f t="shared" si="6"/>
        <v/>
      </c>
      <c r="AD28" s="58" t="str">
        <f t="shared" si="6"/>
        <v/>
      </c>
      <c r="AE28" s="58" t="str">
        <f t="shared" si="6"/>
        <v/>
      </c>
      <c r="AF28" s="58" t="str">
        <f t="shared" si="6"/>
        <v/>
      </c>
      <c r="AG28" s="58" t="str">
        <f t="shared" si="6"/>
        <v/>
      </c>
      <c r="AH28" s="58" t="str">
        <f t="shared" si="6"/>
        <v/>
      </c>
      <c r="AI28" s="58" t="str">
        <f t="shared" si="6"/>
        <v/>
      </c>
      <c r="AJ28" s="58" t="str">
        <f t="shared" si="6"/>
        <v/>
      </c>
      <c r="AK28" s="58" t="str">
        <f t="shared" si="6"/>
        <v/>
      </c>
      <c r="AL28" s="58" t="str">
        <f t="shared" si="6"/>
        <v/>
      </c>
      <c r="AM28" s="58" t="str">
        <f t="shared" si="6"/>
        <v/>
      </c>
      <c r="AN28" s="58" t="str">
        <f t="shared" si="6"/>
        <v/>
      </c>
      <c r="AO28" s="58" t="str">
        <f t="shared" si="6"/>
        <v/>
      </c>
      <c r="AP28" s="83"/>
      <c r="AQ28" s="83"/>
      <c r="AR28" s="84"/>
      <c r="AS28" s="85"/>
      <c r="AT28" s="86"/>
    </row>
    <row r="29" spans="1:46" ht="14.25" customHeight="1" thickBot="1">
      <c r="W29" s="61"/>
    </row>
    <row r="30" spans="1:46" ht="18">
      <c r="A30" s="127" t="s">
        <v>93</v>
      </c>
      <c r="B30" s="128">
        <v>3</v>
      </c>
      <c r="C30" s="131">
        <v>7</v>
      </c>
      <c r="D30" s="131">
        <v>8</v>
      </c>
      <c r="E30" s="131">
        <v>2</v>
      </c>
      <c r="F30" s="131">
        <v>0</v>
      </c>
      <c r="G30" s="131" t="s">
        <v>6</v>
      </c>
      <c r="H30" s="118"/>
      <c r="I30" s="118"/>
      <c r="J30" s="118"/>
      <c r="K30" s="118"/>
      <c r="L30" s="131" t="s">
        <v>6</v>
      </c>
      <c r="M30" s="118"/>
      <c r="N30" s="118"/>
      <c r="O30" s="118"/>
      <c r="P30" s="118"/>
      <c r="Q30" s="131" t="s">
        <v>6</v>
      </c>
      <c r="R30" s="131" t="s">
        <v>88</v>
      </c>
      <c r="S30" s="131">
        <v>6</v>
      </c>
      <c r="T30" s="131" t="s">
        <v>90</v>
      </c>
      <c r="U30" s="131">
        <v>6</v>
      </c>
      <c r="V30" s="131" t="s">
        <v>148</v>
      </c>
      <c r="W30" s="71"/>
      <c r="X30" s="57" t="str">
        <f t="shared" ref="X30:AG32" si="7">MID($W30,COLUMN(A14),1)</f>
        <v/>
      </c>
      <c r="Y30" s="57" t="str">
        <f t="shared" si="7"/>
        <v/>
      </c>
      <c r="Z30" s="57" t="str">
        <f t="shared" si="7"/>
        <v/>
      </c>
      <c r="AA30" s="57" t="str">
        <f t="shared" si="7"/>
        <v/>
      </c>
      <c r="AB30" s="57" t="str">
        <f t="shared" si="7"/>
        <v/>
      </c>
      <c r="AC30" s="57" t="str">
        <f t="shared" si="7"/>
        <v/>
      </c>
      <c r="AD30" s="57" t="str">
        <f t="shared" si="7"/>
        <v/>
      </c>
      <c r="AE30" s="57" t="str">
        <f t="shared" si="7"/>
        <v/>
      </c>
      <c r="AF30" s="57" t="str">
        <f t="shared" si="7"/>
        <v/>
      </c>
      <c r="AG30" s="57" t="str">
        <f t="shared" si="7"/>
        <v/>
      </c>
      <c r="AH30" s="57" t="str">
        <f t="shared" ref="AH30:AO32" si="8">MID($W30,COLUMN(K14),1)</f>
        <v/>
      </c>
      <c r="AI30" s="57" t="str">
        <f t="shared" si="8"/>
        <v/>
      </c>
      <c r="AJ30" s="57" t="str">
        <f t="shared" si="8"/>
        <v/>
      </c>
      <c r="AK30" s="57" t="str">
        <f t="shared" si="8"/>
        <v/>
      </c>
      <c r="AL30" s="57" t="str">
        <f t="shared" si="8"/>
        <v/>
      </c>
      <c r="AM30" s="57" t="str">
        <f t="shared" si="8"/>
        <v/>
      </c>
      <c r="AN30" s="57" t="str">
        <f t="shared" si="8"/>
        <v/>
      </c>
      <c r="AO30" s="57" t="str">
        <f t="shared" si="8"/>
        <v/>
      </c>
      <c r="AP30" s="74"/>
      <c r="AQ30" s="74"/>
      <c r="AR30" s="87"/>
      <c r="AS30" s="76"/>
      <c r="AT30" s="88"/>
    </row>
    <row r="31" spans="1:46" ht="18">
      <c r="A31" s="127"/>
      <c r="B31" s="129"/>
      <c r="C31" s="132"/>
      <c r="D31" s="132"/>
      <c r="E31" s="132"/>
      <c r="F31" s="132"/>
      <c r="G31" s="132"/>
      <c r="H31" s="119"/>
      <c r="I31" s="119"/>
      <c r="J31" s="119"/>
      <c r="K31" s="119"/>
      <c r="L31" s="132"/>
      <c r="M31" s="119"/>
      <c r="N31" s="119"/>
      <c r="O31" s="119"/>
      <c r="P31" s="119"/>
      <c r="Q31" s="132"/>
      <c r="R31" s="132"/>
      <c r="S31" s="132"/>
      <c r="T31" s="132"/>
      <c r="U31" s="132"/>
      <c r="V31" s="132"/>
      <c r="W31" s="72"/>
      <c r="X31" s="56" t="str">
        <f t="shared" si="7"/>
        <v/>
      </c>
      <c r="Y31" s="56" t="str">
        <f t="shared" si="7"/>
        <v/>
      </c>
      <c r="Z31" s="56" t="str">
        <f t="shared" si="7"/>
        <v/>
      </c>
      <c r="AA31" s="56" t="str">
        <f t="shared" si="7"/>
        <v/>
      </c>
      <c r="AB31" s="56" t="str">
        <f t="shared" si="7"/>
        <v/>
      </c>
      <c r="AC31" s="56" t="str">
        <f t="shared" si="7"/>
        <v/>
      </c>
      <c r="AD31" s="56" t="str">
        <f t="shared" si="7"/>
        <v/>
      </c>
      <c r="AE31" s="56" t="str">
        <f t="shared" si="7"/>
        <v/>
      </c>
      <c r="AF31" s="56" t="str">
        <f t="shared" si="7"/>
        <v/>
      </c>
      <c r="AG31" s="56" t="str">
        <f t="shared" si="7"/>
        <v/>
      </c>
      <c r="AH31" s="56" t="str">
        <f t="shared" si="8"/>
        <v/>
      </c>
      <c r="AI31" s="56" t="str">
        <f t="shared" si="8"/>
        <v/>
      </c>
      <c r="AJ31" s="56" t="str">
        <f t="shared" si="8"/>
        <v/>
      </c>
      <c r="AK31" s="56" t="str">
        <f t="shared" si="8"/>
        <v/>
      </c>
      <c r="AL31" s="56" t="str">
        <f t="shared" si="8"/>
        <v/>
      </c>
      <c r="AM31" s="56" t="str">
        <f t="shared" si="8"/>
        <v/>
      </c>
      <c r="AN31" s="56" t="str">
        <f t="shared" si="8"/>
        <v/>
      </c>
      <c r="AO31" s="56" t="str">
        <f t="shared" si="8"/>
        <v/>
      </c>
      <c r="AP31" s="78"/>
      <c r="AQ31" s="78"/>
      <c r="AR31" s="75"/>
      <c r="AS31" s="79"/>
      <c r="AT31" s="80"/>
    </row>
    <row r="32" spans="1:46" ht="18">
      <c r="A32" s="127"/>
      <c r="B32" s="129"/>
      <c r="C32" s="132"/>
      <c r="D32" s="132"/>
      <c r="E32" s="132"/>
      <c r="F32" s="132"/>
      <c r="G32" s="132"/>
      <c r="H32" s="119"/>
      <c r="I32" s="119"/>
      <c r="J32" s="119"/>
      <c r="K32" s="119"/>
      <c r="L32" s="132"/>
      <c r="M32" s="119"/>
      <c r="N32" s="119"/>
      <c r="O32" s="119"/>
      <c r="P32" s="119"/>
      <c r="Q32" s="132"/>
      <c r="R32" s="132"/>
      <c r="S32" s="132"/>
      <c r="T32" s="132"/>
      <c r="U32" s="132"/>
      <c r="V32" s="132"/>
      <c r="W32" s="72"/>
      <c r="X32" s="56" t="str">
        <f t="shared" si="7"/>
        <v/>
      </c>
      <c r="Y32" s="56" t="str">
        <f t="shared" si="7"/>
        <v/>
      </c>
      <c r="Z32" s="56" t="str">
        <f t="shared" si="7"/>
        <v/>
      </c>
      <c r="AA32" s="56" t="str">
        <f t="shared" si="7"/>
        <v/>
      </c>
      <c r="AB32" s="56" t="str">
        <f t="shared" si="7"/>
        <v/>
      </c>
      <c r="AC32" s="56" t="str">
        <f t="shared" si="7"/>
        <v/>
      </c>
      <c r="AD32" s="56" t="str">
        <f t="shared" si="7"/>
        <v/>
      </c>
      <c r="AE32" s="56" t="str">
        <f t="shared" si="7"/>
        <v/>
      </c>
      <c r="AF32" s="56" t="str">
        <f t="shared" si="7"/>
        <v/>
      </c>
      <c r="AG32" s="56" t="str">
        <f t="shared" si="7"/>
        <v/>
      </c>
      <c r="AH32" s="56" t="str">
        <f t="shared" si="8"/>
        <v/>
      </c>
      <c r="AI32" s="56" t="str">
        <f t="shared" si="8"/>
        <v/>
      </c>
      <c r="AJ32" s="56" t="str">
        <f t="shared" si="8"/>
        <v/>
      </c>
      <c r="AK32" s="56" t="str">
        <f t="shared" si="8"/>
        <v/>
      </c>
      <c r="AL32" s="56" t="str">
        <f t="shared" si="8"/>
        <v/>
      </c>
      <c r="AM32" s="56" t="str">
        <f t="shared" si="8"/>
        <v/>
      </c>
      <c r="AN32" s="56" t="str">
        <f t="shared" si="8"/>
        <v/>
      </c>
      <c r="AO32" s="56" t="str">
        <f t="shared" si="8"/>
        <v/>
      </c>
      <c r="AP32" s="90"/>
      <c r="AQ32" s="89"/>
      <c r="AR32" s="75"/>
      <c r="AS32" s="79"/>
      <c r="AT32" s="80"/>
    </row>
    <row r="33" spans="1:46" ht="18">
      <c r="A33" s="127"/>
      <c r="B33" s="129"/>
      <c r="C33" s="132"/>
      <c r="D33" s="132"/>
      <c r="E33" s="132"/>
      <c r="F33" s="132"/>
      <c r="G33" s="132"/>
      <c r="H33" s="119"/>
      <c r="I33" s="119"/>
      <c r="J33" s="119"/>
      <c r="K33" s="119"/>
      <c r="L33" s="132"/>
      <c r="M33" s="119"/>
      <c r="N33" s="119"/>
      <c r="O33" s="119"/>
      <c r="P33" s="119"/>
      <c r="Q33" s="132"/>
      <c r="R33" s="132"/>
      <c r="S33" s="132"/>
      <c r="T33" s="132"/>
      <c r="U33" s="132"/>
      <c r="V33" s="132"/>
      <c r="W33" s="72"/>
      <c r="X33" s="56" t="str">
        <f>MID($W33,COLUMN(A17),1)</f>
        <v/>
      </c>
      <c r="Y33" s="56" t="str">
        <f t="shared" ref="Y33:AO33" si="9">MID($W33,COLUMN(B17),1)</f>
        <v/>
      </c>
      <c r="Z33" s="56" t="str">
        <f t="shared" si="9"/>
        <v/>
      </c>
      <c r="AA33" s="56" t="str">
        <f t="shared" si="9"/>
        <v/>
      </c>
      <c r="AB33" s="56" t="str">
        <f t="shared" si="9"/>
        <v/>
      </c>
      <c r="AC33" s="56" t="str">
        <f t="shared" si="9"/>
        <v/>
      </c>
      <c r="AD33" s="56" t="str">
        <f t="shared" si="9"/>
        <v/>
      </c>
      <c r="AE33" s="56" t="str">
        <f t="shared" si="9"/>
        <v/>
      </c>
      <c r="AF33" s="56" t="str">
        <f t="shared" si="9"/>
        <v/>
      </c>
      <c r="AG33" s="56" t="str">
        <f t="shared" si="9"/>
        <v/>
      </c>
      <c r="AH33" s="56" t="str">
        <f t="shared" si="9"/>
        <v/>
      </c>
      <c r="AI33" s="56" t="str">
        <f t="shared" si="9"/>
        <v/>
      </c>
      <c r="AJ33" s="56" t="str">
        <f t="shared" si="9"/>
        <v/>
      </c>
      <c r="AK33" s="56" t="str">
        <f t="shared" si="9"/>
        <v/>
      </c>
      <c r="AL33" s="56" t="str">
        <f t="shared" si="9"/>
        <v/>
      </c>
      <c r="AM33" s="56" t="str">
        <f t="shared" si="9"/>
        <v/>
      </c>
      <c r="AN33" s="56" t="str">
        <f t="shared" si="9"/>
        <v/>
      </c>
      <c r="AO33" s="56" t="str">
        <f t="shared" si="9"/>
        <v/>
      </c>
      <c r="AP33" s="78"/>
      <c r="AQ33" s="81"/>
      <c r="AR33" s="75"/>
      <c r="AS33" s="79"/>
      <c r="AT33" s="80"/>
    </row>
    <row r="34" spans="1:46" ht="18.5" thickBot="1">
      <c r="A34" s="127"/>
      <c r="B34" s="130"/>
      <c r="C34" s="133"/>
      <c r="D34" s="133"/>
      <c r="E34" s="133"/>
      <c r="F34" s="133"/>
      <c r="G34" s="133"/>
      <c r="H34" s="120"/>
      <c r="I34" s="120"/>
      <c r="J34" s="120"/>
      <c r="K34" s="120"/>
      <c r="L34" s="133"/>
      <c r="M34" s="120"/>
      <c r="N34" s="120"/>
      <c r="O34" s="120"/>
      <c r="P34" s="120"/>
      <c r="Q34" s="133"/>
      <c r="R34" s="133"/>
      <c r="S34" s="133"/>
      <c r="T34" s="133"/>
      <c r="U34" s="133"/>
      <c r="V34" s="133"/>
      <c r="W34" s="73"/>
      <c r="X34" s="58" t="str">
        <f>MID($W34,COLUMN(A18),1)</f>
        <v/>
      </c>
      <c r="Y34" s="58" t="str">
        <f t="shared" ref="Y34:AO34" si="10">MID($W34,COLUMN(B17),1)</f>
        <v/>
      </c>
      <c r="Z34" s="58" t="str">
        <f t="shared" si="10"/>
        <v/>
      </c>
      <c r="AA34" s="58" t="str">
        <f t="shared" si="10"/>
        <v/>
      </c>
      <c r="AB34" s="58" t="str">
        <f t="shared" si="10"/>
        <v/>
      </c>
      <c r="AC34" s="58" t="str">
        <f t="shared" si="10"/>
        <v/>
      </c>
      <c r="AD34" s="58" t="str">
        <f t="shared" si="10"/>
        <v/>
      </c>
      <c r="AE34" s="58" t="str">
        <f t="shared" si="10"/>
        <v/>
      </c>
      <c r="AF34" s="58" t="str">
        <f t="shared" si="10"/>
        <v/>
      </c>
      <c r="AG34" s="58" t="str">
        <f t="shared" si="10"/>
        <v/>
      </c>
      <c r="AH34" s="58" t="str">
        <f t="shared" si="10"/>
        <v/>
      </c>
      <c r="AI34" s="58" t="str">
        <f t="shared" si="10"/>
        <v/>
      </c>
      <c r="AJ34" s="58" t="str">
        <f t="shared" si="10"/>
        <v/>
      </c>
      <c r="AK34" s="58" t="str">
        <f t="shared" si="10"/>
        <v/>
      </c>
      <c r="AL34" s="58" t="str">
        <f t="shared" si="10"/>
        <v/>
      </c>
      <c r="AM34" s="58" t="str">
        <f t="shared" si="10"/>
        <v/>
      </c>
      <c r="AN34" s="58" t="str">
        <f t="shared" si="10"/>
        <v/>
      </c>
      <c r="AO34" s="58" t="str">
        <f t="shared" si="10"/>
        <v/>
      </c>
      <c r="AP34" s="83"/>
      <c r="AQ34" s="83"/>
      <c r="AR34" s="84"/>
      <c r="AS34" s="85"/>
      <c r="AT34" s="86"/>
    </row>
  </sheetData>
  <sheetProtection sheet="1" objects="1" scenarios="1"/>
  <mergeCells count="75">
    <mergeCell ref="T30:T34"/>
    <mergeCell ref="U30:U34"/>
    <mergeCell ref="V30:V34"/>
    <mergeCell ref="N30:N34"/>
    <mergeCell ref="O30:O34"/>
    <mergeCell ref="P30:P34"/>
    <mergeCell ref="Q30:Q34"/>
    <mergeCell ref="R30:R34"/>
    <mergeCell ref="S30:S34"/>
    <mergeCell ref="H30:H34"/>
    <mergeCell ref="I30:I34"/>
    <mergeCell ref="J30:J34"/>
    <mergeCell ref="K30:K34"/>
    <mergeCell ref="L30:L34"/>
    <mergeCell ref="M30:M34"/>
    <mergeCell ref="T24:T28"/>
    <mergeCell ref="U24:U28"/>
    <mergeCell ref="V24:V28"/>
    <mergeCell ref="A30:A34"/>
    <mergeCell ref="B30:B34"/>
    <mergeCell ref="C30:C34"/>
    <mergeCell ref="D30:D34"/>
    <mergeCell ref="E30:E34"/>
    <mergeCell ref="F30:F34"/>
    <mergeCell ref="G30:G34"/>
    <mergeCell ref="N24:N28"/>
    <mergeCell ref="O24:O28"/>
    <mergeCell ref="P24:P28"/>
    <mergeCell ref="Q24:Q28"/>
    <mergeCell ref="R24:R28"/>
    <mergeCell ref="S24:S28"/>
    <mergeCell ref="H24:H28"/>
    <mergeCell ref="I24:I28"/>
    <mergeCell ref="J24:J28"/>
    <mergeCell ref="K24:K28"/>
    <mergeCell ref="L24:L28"/>
    <mergeCell ref="M24:M28"/>
    <mergeCell ref="T18:T22"/>
    <mergeCell ref="U18:U22"/>
    <mergeCell ref="V18:V22"/>
    <mergeCell ref="A24:A28"/>
    <mergeCell ref="B24:B28"/>
    <mergeCell ref="C24:C28"/>
    <mergeCell ref="D24:D28"/>
    <mergeCell ref="E24:E28"/>
    <mergeCell ref="F24:F28"/>
    <mergeCell ref="G24:G28"/>
    <mergeCell ref="N18:N22"/>
    <mergeCell ref="O18:O22"/>
    <mergeCell ref="P18:P22"/>
    <mergeCell ref="Q18:Q22"/>
    <mergeCell ref="R18:R22"/>
    <mergeCell ref="S18:S22"/>
    <mergeCell ref="M18:M22"/>
    <mergeCell ref="B12:AO12"/>
    <mergeCell ref="B17:V17"/>
    <mergeCell ref="X17:AO17"/>
    <mergeCell ref="A18:A22"/>
    <mergeCell ref="B18:B22"/>
    <mergeCell ref="C18:C22"/>
    <mergeCell ref="D18:D22"/>
    <mergeCell ref="E18:E22"/>
    <mergeCell ref="F18:F22"/>
    <mergeCell ref="G18:G22"/>
    <mergeCell ref="H18:H22"/>
    <mergeCell ref="I18:I22"/>
    <mergeCell ref="J18:J22"/>
    <mergeCell ref="K18:K22"/>
    <mergeCell ref="L18:L22"/>
    <mergeCell ref="AG10:AO10"/>
    <mergeCell ref="AM1:AN1"/>
    <mergeCell ref="B2:AO3"/>
    <mergeCell ref="B4:H4"/>
    <mergeCell ref="B5:AO8"/>
    <mergeCell ref="AG9:AO9"/>
  </mergeCells>
  <phoneticPr fontId="3"/>
  <conditionalFormatting sqref="AG18:AG22">
    <cfRule type="expression" dxfId="71" priority="36">
      <formula>AG18&lt;&gt;" "</formula>
    </cfRule>
  </conditionalFormatting>
  <conditionalFormatting sqref="AH18:AH22">
    <cfRule type="expression" dxfId="70" priority="35">
      <formula>AH18&lt;&gt;"-"</formula>
    </cfRule>
  </conditionalFormatting>
  <conditionalFormatting sqref="AC18:AC22">
    <cfRule type="expression" dxfId="69" priority="34">
      <formula>AC18&lt;&gt;"-"</formula>
    </cfRule>
  </conditionalFormatting>
  <conditionalFormatting sqref="AM18:AM22">
    <cfRule type="expression" dxfId="68" priority="33">
      <formula>AM18&lt;&gt;"-"</formula>
    </cfRule>
  </conditionalFormatting>
  <conditionalFormatting sqref="AN18:AN22">
    <cfRule type="expression" dxfId="67" priority="32">
      <formula>AN18&lt;&gt;"M"</formula>
    </cfRule>
  </conditionalFormatting>
  <conditionalFormatting sqref="AO18:AO22">
    <cfRule type="expression" dxfId="66" priority="31">
      <formula>AO18&lt;&gt;"6"</formula>
    </cfRule>
  </conditionalFormatting>
  <conditionalFormatting sqref="X18:X22">
    <cfRule type="expression" dxfId="65" priority="30">
      <formula>X18&lt;&gt;"3"</formula>
    </cfRule>
  </conditionalFormatting>
  <conditionalFormatting sqref="Y18:Y22">
    <cfRule type="expression" dxfId="64" priority="29">
      <formula>Y18&lt;&gt;"7"</formula>
    </cfRule>
  </conditionalFormatting>
  <conditionalFormatting sqref="Z18:Z22">
    <cfRule type="expression" dxfId="63" priority="28">
      <formula>Z18&lt;&gt;"8"</formula>
    </cfRule>
  </conditionalFormatting>
  <conditionalFormatting sqref="AA18:AA22">
    <cfRule type="expression" dxfId="62" priority="27">
      <formula>AA18&lt;&gt;"2"</formula>
    </cfRule>
  </conditionalFormatting>
  <conditionalFormatting sqref="AB18:AB22">
    <cfRule type="expression" dxfId="61" priority="26">
      <formula>AB18&lt;&gt;"0"</formula>
    </cfRule>
  </conditionalFormatting>
  <conditionalFormatting sqref="AJ18:AL22">
    <cfRule type="expression" dxfId="60" priority="25">
      <formula>AND(CODE(AJ18)&gt;=65,CODE(AJ18)&lt;=122)</formula>
    </cfRule>
  </conditionalFormatting>
  <conditionalFormatting sqref="AG24:AG28">
    <cfRule type="expression" dxfId="59" priority="24">
      <formula>AG24&lt;&gt;" "</formula>
    </cfRule>
  </conditionalFormatting>
  <conditionalFormatting sqref="AH24:AH28">
    <cfRule type="expression" dxfId="58" priority="23">
      <formula>AH24&lt;&gt;"-"</formula>
    </cfRule>
  </conditionalFormatting>
  <conditionalFormatting sqref="AC24:AC28">
    <cfRule type="expression" dxfId="57" priority="22">
      <formula>AC24&lt;&gt;"-"</formula>
    </cfRule>
  </conditionalFormatting>
  <conditionalFormatting sqref="AM24:AM28">
    <cfRule type="expression" dxfId="56" priority="21">
      <formula>AM24&lt;&gt;"-"</formula>
    </cfRule>
  </conditionalFormatting>
  <conditionalFormatting sqref="AN24:AN28">
    <cfRule type="expression" dxfId="55" priority="20">
      <formula>AN24&lt;&gt;"M"</formula>
    </cfRule>
  </conditionalFormatting>
  <conditionalFormatting sqref="AO24:AO28">
    <cfRule type="expression" dxfId="54" priority="19">
      <formula>AO24&lt;&gt;"6"</formula>
    </cfRule>
  </conditionalFormatting>
  <conditionalFormatting sqref="X24:X28">
    <cfRule type="expression" dxfId="53" priority="18">
      <formula>X24&lt;&gt;"3"</formula>
    </cfRule>
  </conditionalFormatting>
  <conditionalFormatting sqref="Y24:Y28">
    <cfRule type="expression" dxfId="52" priority="17">
      <formula>Y24&lt;&gt;"7"</formula>
    </cfRule>
  </conditionalFormatting>
  <conditionalFormatting sqref="Z24:Z28">
    <cfRule type="expression" dxfId="51" priority="16">
      <formula>Z24&lt;&gt;"8"</formula>
    </cfRule>
  </conditionalFormatting>
  <conditionalFormatting sqref="AA24:AA28">
    <cfRule type="expression" dxfId="50" priority="15">
      <formula>AA24&lt;&gt;"2"</formula>
    </cfRule>
  </conditionalFormatting>
  <conditionalFormatting sqref="AB24:AB28">
    <cfRule type="expression" dxfId="49" priority="14">
      <formula>AB24&lt;&gt;"0"</formula>
    </cfRule>
  </conditionalFormatting>
  <conditionalFormatting sqref="AJ24:AL28">
    <cfRule type="expression" dxfId="48" priority="13">
      <formula>AND(CODE(AJ24)&gt;=65,CODE(AJ24)&lt;=122)</formula>
    </cfRule>
  </conditionalFormatting>
  <conditionalFormatting sqref="AG30:AG34">
    <cfRule type="expression" dxfId="47" priority="12">
      <formula>AG30&lt;&gt;" "</formula>
    </cfRule>
  </conditionalFormatting>
  <conditionalFormatting sqref="AH30:AH34">
    <cfRule type="expression" dxfId="46" priority="11">
      <formula>AH30&lt;&gt;"-"</formula>
    </cfRule>
  </conditionalFormatting>
  <conditionalFormatting sqref="AC30:AC34">
    <cfRule type="expression" dxfId="45" priority="10">
      <formula>AC30&lt;&gt;"-"</formula>
    </cfRule>
  </conditionalFormatting>
  <conditionalFormatting sqref="AM30:AM34">
    <cfRule type="expression" dxfId="44" priority="9">
      <formula>AM30&lt;&gt;"-"</formula>
    </cfRule>
  </conditionalFormatting>
  <conditionalFormatting sqref="AN30:AN34">
    <cfRule type="expression" dxfId="43" priority="8">
      <formula>AN30&lt;&gt;"M"</formula>
    </cfRule>
  </conditionalFormatting>
  <conditionalFormatting sqref="AO30:AO34">
    <cfRule type="expression" dxfId="42" priority="7">
      <formula>AO30&lt;&gt;"6"</formula>
    </cfRule>
  </conditionalFormatting>
  <conditionalFormatting sqref="X30:X34">
    <cfRule type="expression" dxfId="41" priority="6">
      <formula>X30&lt;&gt;"3"</formula>
    </cfRule>
  </conditionalFormatting>
  <conditionalFormatting sqref="Y30:Y34">
    <cfRule type="expression" dxfId="40" priority="5">
      <formula>Y30&lt;&gt;"7"</formula>
    </cfRule>
  </conditionalFormatting>
  <conditionalFormatting sqref="Z30:Z34">
    <cfRule type="expression" dxfId="39" priority="4">
      <formula>Z30&lt;&gt;"8"</formula>
    </cfRule>
  </conditionalFormatting>
  <conditionalFormatting sqref="AA30:AA34">
    <cfRule type="expression" dxfId="38" priority="3">
      <formula>AA30&lt;&gt;"2"</formula>
    </cfRule>
  </conditionalFormatting>
  <conditionalFormatting sqref="AB30:AB34">
    <cfRule type="expression" dxfId="37" priority="2">
      <formula>AB30&lt;&gt;"0"</formula>
    </cfRule>
  </conditionalFormatting>
  <conditionalFormatting sqref="AJ30:AL34">
    <cfRule type="expression" dxfId="36" priority="1">
      <formula>AND(CODE(AJ30)&gt;=65,CODE(AJ30)&lt;=122)</formula>
    </cfRule>
  </conditionalFormatting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45F1-2772-4551-9061-D337AE9363F5}">
  <dimension ref="A1:AU34"/>
  <sheetViews>
    <sheetView zoomScale="85" zoomScaleNormal="85" workbookViewId="0">
      <pane xSplit="41" ySplit="17" topLeftCell="AP18" activePane="bottomRight" state="frozen"/>
      <selection pane="topRight" activeCell="P1" sqref="P1"/>
      <selection pane="bottomLeft" activeCell="A15" sqref="A15"/>
      <selection pane="bottomRight" activeCell="B2" sqref="B2:AO3"/>
    </sheetView>
  </sheetViews>
  <sheetFormatPr defaultColWidth="8.9140625" defaultRowHeight="14.25" customHeight="1"/>
  <cols>
    <col min="1" max="1" width="4.4140625" style="1" customWidth="1"/>
    <col min="2" max="22" width="3.08203125" style="1" customWidth="1"/>
    <col min="23" max="23" width="27.6640625" style="1" bestFit="1" customWidth="1"/>
    <col min="24" max="41" width="3.08203125" style="1" customWidth="1"/>
    <col min="42" max="43" width="30.6640625" style="1" bestFit="1" customWidth="1"/>
    <col min="44" max="44" width="26.08203125" style="1" bestFit="1" customWidth="1"/>
    <col min="45" max="45" width="36.9140625" style="1" bestFit="1" customWidth="1"/>
    <col min="46" max="46" width="38" style="1" customWidth="1"/>
    <col min="47" max="47" width="27.9140625" style="1" customWidth="1"/>
    <col min="48" max="16384" width="8.9140625" style="1"/>
  </cols>
  <sheetData>
    <row r="1" spans="2:47" ht="14.25" customHeight="1" thickBot="1">
      <c r="AL1" s="53" t="s">
        <v>79</v>
      </c>
      <c r="AM1" s="106" t="str">
        <f ca="1">'Changed history'!G2</f>
        <v>r01</v>
      </c>
      <c r="AN1" s="106"/>
    </row>
    <row r="2" spans="2:47" ht="14.25" customHeight="1">
      <c r="B2" s="107" t="s">
        <v>84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9"/>
      <c r="AP2" s="66" t="s">
        <v>81</v>
      </c>
      <c r="AQ2" s="67" t="s">
        <v>82</v>
      </c>
      <c r="AR2" s="67" t="s">
        <v>83</v>
      </c>
      <c r="AU2" s="3"/>
    </row>
    <row r="3" spans="2:47" ht="14.25" customHeight="1" thickBot="1">
      <c r="B3" s="110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2"/>
      <c r="AP3" s="68" t="str">
        <f ca="1">'Changed history'!A22</f>
        <v>V01</v>
      </c>
      <c r="AQ3" s="69">
        <f ca="1">'Changed history'!B22</f>
        <v>45660</v>
      </c>
      <c r="AR3" s="69" t="str">
        <f ca="1">'Changed history'!D22</f>
        <v>Vajapeyi S B (MS/EEM11-PS-PC)</v>
      </c>
      <c r="AU3" s="3"/>
    </row>
    <row r="4" spans="2:47" ht="14.25" customHeight="1">
      <c r="B4" s="113" t="s">
        <v>145</v>
      </c>
      <c r="C4" s="113"/>
      <c r="D4" s="113"/>
      <c r="E4" s="113"/>
      <c r="F4" s="113"/>
      <c r="G4" s="113"/>
      <c r="H4" s="113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60"/>
      <c r="AQ4" s="60"/>
      <c r="AR4" s="60"/>
    </row>
    <row r="5" spans="2:47" ht="14.25" customHeight="1">
      <c r="B5" s="114" t="s">
        <v>146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60"/>
      <c r="AQ5" s="60"/>
      <c r="AR5" s="60"/>
    </row>
    <row r="6" spans="2:47" ht="14.25" customHeight="1"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60"/>
      <c r="AQ6" s="60"/>
      <c r="AR6" s="60"/>
    </row>
    <row r="7" spans="2:47" ht="14.25" customHeight="1"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60"/>
      <c r="AQ7" s="60"/>
      <c r="AR7" s="60"/>
    </row>
    <row r="8" spans="2:47" ht="14.25" customHeight="1"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60"/>
      <c r="AQ8" s="60"/>
      <c r="AR8" s="60"/>
    </row>
    <row r="9" spans="2:47" ht="14.25" customHeight="1"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115" t="s">
        <v>80</v>
      </c>
      <c r="AH9" s="116"/>
      <c r="AI9" s="116"/>
      <c r="AJ9" s="116"/>
      <c r="AK9" s="116"/>
      <c r="AL9" s="116"/>
      <c r="AM9" s="116"/>
      <c r="AN9" s="116"/>
      <c r="AO9" s="117"/>
      <c r="AP9" s="60"/>
      <c r="AQ9" s="60"/>
      <c r="AR9" s="60"/>
    </row>
    <row r="10" spans="2:47" ht="14.25" customHeight="1">
      <c r="AG10" s="103" t="s">
        <v>144</v>
      </c>
      <c r="AH10" s="104"/>
      <c r="AI10" s="104"/>
      <c r="AJ10" s="104"/>
      <c r="AK10" s="104"/>
      <c r="AL10" s="104"/>
      <c r="AM10" s="104"/>
      <c r="AN10" s="104"/>
      <c r="AO10" s="105"/>
    </row>
    <row r="11" spans="2:47" ht="14.5">
      <c r="B11" s="1" t="s">
        <v>0</v>
      </c>
    </row>
    <row r="12" spans="2:47" ht="14.5">
      <c r="B12" s="121" t="s">
        <v>18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/>
    </row>
    <row r="16" spans="2:47" ht="14.25" customHeight="1" thickBot="1"/>
    <row r="17" spans="1:46" s="8" customFormat="1" ht="74.400000000000006" customHeight="1" thickBot="1">
      <c r="B17" s="122" t="s">
        <v>11</v>
      </c>
      <c r="C17" s="123"/>
      <c r="D17" s="123"/>
      <c r="E17" s="123"/>
      <c r="F17" s="123"/>
      <c r="G17" s="123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59" t="s">
        <v>147</v>
      </c>
      <c r="X17" s="125" t="s">
        <v>149</v>
      </c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3"/>
      <c r="AP17" s="55" t="s">
        <v>94</v>
      </c>
      <c r="AQ17" s="55" t="s">
        <v>98</v>
      </c>
      <c r="AR17" s="99" t="s">
        <v>85</v>
      </c>
      <c r="AS17" s="59" t="s">
        <v>143</v>
      </c>
      <c r="AT17" s="62" t="s">
        <v>1</v>
      </c>
    </row>
    <row r="18" spans="1:46" ht="18">
      <c r="A18" s="127" t="s">
        <v>91</v>
      </c>
      <c r="B18" s="128">
        <v>3</v>
      </c>
      <c r="C18" s="131">
        <v>7</v>
      </c>
      <c r="D18" s="131">
        <v>8</v>
      </c>
      <c r="E18" s="131">
        <v>2</v>
      </c>
      <c r="F18" s="131">
        <v>0</v>
      </c>
      <c r="G18" s="131" t="s">
        <v>6</v>
      </c>
      <c r="H18" s="118">
        <v>6</v>
      </c>
      <c r="I18" s="118">
        <v>6</v>
      </c>
      <c r="J18" s="118" t="s">
        <v>86</v>
      </c>
      <c r="K18" s="118"/>
      <c r="L18" s="131" t="s">
        <v>6</v>
      </c>
      <c r="M18" s="118" t="s">
        <v>89</v>
      </c>
      <c r="N18" s="118" t="s">
        <v>89</v>
      </c>
      <c r="O18" s="118">
        <v>1</v>
      </c>
      <c r="P18" s="118">
        <v>2</v>
      </c>
      <c r="Q18" s="131" t="s">
        <v>6</v>
      </c>
      <c r="R18" s="131" t="s">
        <v>88</v>
      </c>
      <c r="S18" s="131">
        <v>6</v>
      </c>
      <c r="T18" s="131" t="s">
        <v>90</v>
      </c>
      <c r="U18" s="131">
        <v>6</v>
      </c>
      <c r="V18" s="131" t="s">
        <v>87</v>
      </c>
      <c r="W18" s="71" t="s">
        <v>127</v>
      </c>
      <c r="X18" s="57" t="str">
        <f t="shared" ref="X18:AG20" si="0">MID($W18,COLUMN(A1),1)</f>
        <v>3</v>
      </c>
      <c r="Y18" s="57" t="str">
        <f t="shared" si="0"/>
        <v>7</v>
      </c>
      <c r="Z18" s="57" t="str">
        <f t="shared" si="0"/>
        <v>8</v>
      </c>
      <c r="AA18" s="57" t="str">
        <f t="shared" si="0"/>
        <v>2</v>
      </c>
      <c r="AB18" s="57" t="str">
        <f t="shared" si="0"/>
        <v>0</v>
      </c>
      <c r="AC18" s="57" t="str">
        <f t="shared" si="0"/>
        <v>-</v>
      </c>
      <c r="AD18" s="57" t="str">
        <f t="shared" si="0"/>
        <v>6</v>
      </c>
      <c r="AE18" s="57" t="str">
        <f t="shared" si="0"/>
        <v>6</v>
      </c>
      <c r="AF18" s="57" t="str">
        <f t="shared" si="0"/>
        <v>V</v>
      </c>
      <c r="AG18" s="57" t="str">
        <f t="shared" si="0"/>
        <v xml:space="preserve"> </v>
      </c>
      <c r="AH18" s="57" t="str">
        <f t="shared" ref="AH18:AO20" si="1">MID($W18,COLUMN(K1),1)</f>
        <v>-</v>
      </c>
      <c r="AI18" s="57" t="str">
        <f t="shared" si="1"/>
        <v>A</v>
      </c>
      <c r="AJ18" s="57" t="str">
        <f t="shared" si="1"/>
        <v>0</v>
      </c>
      <c r="AK18" s="57" t="str">
        <f t="shared" si="1"/>
        <v>3</v>
      </c>
      <c r="AL18" s="57" t="str">
        <f t="shared" si="1"/>
        <v>0</v>
      </c>
      <c r="AM18" s="57" t="str">
        <f t="shared" si="1"/>
        <v>-</v>
      </c>
      <c r="AN18" s="57" t="str">
        <f t="shared" si="1"/>
        <v>M</v>
      </c>
      <c r="AO18" s="57" t="str">
        <f t="shared" si="1"/>
        <v>6</v>
      </c>
      <c r="AP18" s="74" t="s">
        <v>104</v>
      </c>
      <c r="AQ18" s="74" t="s">
        <v>95</v>
      </c>
      <c r="AR18" s="98" t="s">
        <v>33</v>
      </c>
      <c r="AS18" s="76" t="s">
        <v>125</v>
      </c>
      <c r="AT18" s="77"/>
    </row>
    <row r="19" spans="1:46" ht="18">
      <c r="A19" s="127"/>
      <c r="B19" s="129"/>
      <c r="C19" s="132"/>
      <c r="D19" s="132"/>
      <c r="E19" s="132"/>
      <c r="F19" s="132"/>
      <c r="G19" s="132"/>
      <c r="H19" s="119"/>
      <c r="I19" s="119"/>
      <c r="J19" s="119"/>
      <c r="K19" s="119"/>
      <c r="L19" s="132"/>
      <c r="M19" s="119"/>
      <c r="N19" s="119"/>
      <c r="O19" s="119"/>
      <c r="P19" s="119"/>
      <c r="Q19" s="132"/>
      <c r="R19" s="132"/>
      <c r="S19" s="132"/>
      <c r="T19" s="132"/>
      <c r="U19" s="132"/>
      <c r="V19" s="132"/>
      <c r="W19" s="72" t="s">
        <v>128</v>
      </c>
      <c r="X19" s="56" t="str">
        <f t="shared" si="0"/>
        <v>3</v>
      </c>
      <c r="Y19" s="56" t="str">
        <f t="shared" si="0"/>
        <v>7</v>
      </c>
      <c r="Z19" s="56" t="str">
        <f t="shared" si="0"/>
        <v>8</v>
      </c>
      <c r="AA19" s="56" t="str">
        <f t="shared" si="0"/>
        <v>2</v>
      </c>
      <c r="AB19" s="56" t="str">
        <f t="shared" si="0"/>
        <v>0</v>
      </c>
      <c r="AC19" s="56" t="str">
        <f t="shared" si="0"/>
        <v>-</v>
      </c>
      <c r="AD19" s="56" t="str">
        <f t="shared" si="0"/>
        <v>6</v>
      </c>
      <c r="AE19" s="56" t="str">
        <f t="shared" si="0"/>
        <v>6</v>
      </c>
      <c r="AF19" s="56" t="str">
        <f t="shared" si="0"/>
        <v>V</v>
      </c>
      <c r="AG19" s="56" t="str">
        <f t="shared" si="0"/>
        <v xml:space="preserve"> </v>
      </c>
      <c r="AH19" s="56" t="str">
        <f t="shared" si="1"/>
        <v>-</v>
      </c>
      <c r="AI19" s="56" t="str">
        <f t="shared" si="1"/>
        <v>Q</v>
      </c>
      <c r="AJ19" s="56" t="str">
        <f t="shared" si="1"/>
        <v>0</v>
      </c>
      <c r="AK19" s="56" t="str">
        <f t="shared" si="1"/>
        <v>3</v>
      </c>
      <c r="AL19" s="56" t="str">
        <f t="shared" si="1"/>
        <v>0</v>
      </c>
      <c r="AM19" s="56" t="str">
        <f t="shared" si="1"/>
        <v>-</v>
      </c>
      <c r="AN19" s="56" t="str">
        <f t="shared" si="1"/>
        <v>M</v>
      </c>
      <c r="AO19" s="56" t="str">
        <f t="shared" si="1"/>
        <v>6</v>
      </c>
      <c r="AP19" s="78" t="s">
        <v>96</v>
      </c>
      <c r="AQ19" s="78" t="s">
        <v>97</v>
      </c>
      <c r="AR19" s="75" t="s">
        <v>34</v>
      </c>
      <c r="AS19" s="79" t="s">
        <v>126</v>
      </c>
      <c r="AT19" s="80"/>
    </row>
    <row r="20" spans="1:46" ht="18">
      <c r="A20" s="127"/>
      <c r="B20" s="129"/>
      <c r="C20" s="132"/>
      <c r="D20" s="132"/>
      <c r="E20" s="132"/>
      <c r="F20" s="132"/>
      <c r="G20" s="132"/>
      <c r="H20" s="119"/>
      <c r="I20" s="119"/>
      <c r="J20" s="119"/>
      <c r="K20" s="119"/>
      <c r="L20" s="132"/>
      <c r="M20" s="119"/>
      <c r="N20" s="119"/>
      <c r="O20" s="119"/>
      <c r="P20" s="119"/>
      <c r="Q20" s="132"/>
      <c r="R20" s="132"/>
      <c r="S20" s="132"/>
      <c r="T20" s="132"/>
      <c r="U20" s="132"/>
      <c r="V20" s="132"/>
      <c r="W20" s="72" t="s">
        <v>129</v>
      </c>
      <c r="X20" s="56" t="str">
        <f t="shared" si="0"/>
        <v>3</v>
      </c>
      <c r="Y20" s="56" t="str">
        <f t="shared" si="0"/>
        <v>7</v>
      </c>
      <c r="Z20" s="56" t="str">
        <f t="shared" si="0"/>
        <v>8</v>
      </c>
      <c r="AA20" s="56" t="str">
        <f t="shared" si="0"/>
        <v>2</v>
      </c>
      <c r="AB20" s="56" t="str">
        <f t="shared" si="0"/>
        <v>0</v>
      </c>
      <c r="AC20" s="56" t="str">
        <f t="shared" si="0"/>
        <v>-</v>
      </c>
      <c r="AD20" s="56" t="str">
        <f t="shared" si="0"/>
        <v>6</v>
      </c>
      <c r="AE20" s="56" t="str">
        <f t="shared" si="0"/>
        <v>6</v>
      </c>
      <c r="AF20" s="56" t="str">
        <f t="shared" si="0"/>
        <v>V</v>
      </c>
      <c r="AG20" s="56" t="str">
        <f t="shared" si="0"/>
        <v xml:space="preserve"> </v>
      </c>
      <c r="AH20" s="56" t="str">
        <f t="shared" si="1"/>
        <v>-</v>
      </c>
      <c r="AI20" s="56" t="str">
        <f t="shared" si="1"/>
        <v>K</v>
      </c>
      <c r="AJ20" s="56" t="str">
        <f t="shared" si="1"/>
        <v>0</v>
      </c>
      <c r="AK20" s="56" t="str">
        <f t="shared" si="1"/>
        <v>3</v>
      </c>
      <c r="AL20" s="56" t="str">
        <f t="shared" si="1"/>
        <v>0</v>
      </c>
      <c r="AM20" s="56" t="str">
        <f t="shared" si="1"/>
        <v>-</v>
      </c>
      <c r="AN20" s="56" t="str">
        <f t="shared" si="1"/>
        <v>M</v>
      </c>
      <c r="AO20" s="56" t="str">
        <f t="shared" si="1"/>
        <v>6</v>
      </c>
      <c r="AP20" s="78" t="s">
        <v>100</v>
      </c>
      <c r="AQ20" s="78" t="s">
        <v>99</v>
      </c>
      <c r="AR20" s="75" t="s">
        <v>35</v>
      </c>
      <c r="AS20" s="79" t="s">
        <v>126</v>
      </c>
      <c r="AT20" s="80"/>
    </row>
    <row r="21" spans="1:46" ht="18">
      <c r="A21" s="127"/>
      <c r="B21" s="129"/>
      <c r="C21" s="132"/>
      <c r="D21" s="132"/>
      <c r="E21" s="132"/>
      <c r="F21" s="132"/>
      <c r="G21" s="132"/>
      <c r="H21" s="119"/>
      <c r="I21" s="119"/>
      <c r="J21" s="119"/>
      <c r="K21" s="119"/>
      <c r="L21" s="132"/>
      <c r="M21" s="119"/>
      <c r="N21" s="119"/>
      <c r="O21" s="119"/>
      <c r="P21" s="119"/>
      <c r="Q21" s="132"/>
      <c r="R21" s="132"/>
      <c r="S21" s="132"/>
      <c r="T21" s="132"/>
      <c r="U21" s="132"/>
      <c r="V21" s="132"/>
      <c r="W21" s="72" t="s">
        <v>130</v>
      </c>
      <c r="X21" s="56" t="str">
        <f>MID($W21,COLUMN(A4),1)</f>
        <v>3</v>
      </c>
      <c r="Y21" s="56" t="str">
        <f t="shared" ref="Y21:AO21" si="2">MID($W21,COLUMN(B4),1)</f>
        <v>7</v>
      </c>
      <c r="Z21" s="56" t="str">
        <f t="shared" si="2"/>
        <v>8</v>
      </c>
      <c r="AA21" s="56" t="str">
        <f t="shared" si="2"/>
        <v>2</v>
      </c>
      <c r="AB21" s="56" t="str">
        <f t="shared" si="2"/>
        <v>0</v>
      </c>
      <c r="AC21" s="56" t="str">
        <f t="shared" si="2"/>
        <v>-</v>
      </c>
      <c r="AD21" s="56" t="str">
        <f t="shared" si="2"/>
        <v>6</v>
      </c>
      <c r="AE21" s="56" t="str">
        <f t="shared" si="2"/>
        <v>6</v>
      </c>
      <c r="AF21" s="56" t="str">
        <f t="shared" si="2"/>
        <v>V</v>
      </c>
      <c r="AG21" s="56" t="str">
        <f t="shared" si="2"/>
        <v xml:space="preserve"> </v>
      </c>
      <c r="AH21" s="56" t="str">
        <f t="shared" si="2"/>
        <v>-</v>
      </c>
      <c r="AI21" s="56" t="str">
        <f t="shared" si="2"/>
        <v>K</v>
      </c>
      <c r="AJ21" s="56" t="str">
        <f t="shared" si="2"/>
        <v>1</v>
      </c>
      <c r="AK21" s="56" t="str">
        <f t="shared" si="2"/>
        <v>3</v>
      </c>
      <c r="AL21" s="56" t="str">
        <f t="shared" si="2"/>
        <v>0</v>
      </c>
      <c r="AM21" s="56" t="str">
        <f t="shared" si="2"/>
        <v>-</v>
      </c>
      <c r="AN21" s="56" t="str">
        <f t="shared" si="2"/>
        <v>M</v>
      </c>
      <c r="AO21" s="56" t="str">
        <f t="shared" si="2"/>
        <v>6</v>
      </c>
      <c r="AP21" s="81" t="s">
        <v>103</v>
      </c>
      <c r="AQ21" s="81" t="s">
        <v>102</v>
      </c>
      <c r="AR21" s="82" t="s">
        <v>36</v>
      </c>
      <c r="AS21" s="79" t="s">
        <v>126</v>
      </c>
      <c r="AT21" s="80"/>
    </row>
    <row r="22" spans="1:46" ht="18.5" thickBot="1">
      <c r="A22" s="127"/>
      <c r="B22" s="130"/>
      <c r="C22" s="133"/>
      <c r="D22" s="133"/>
      <c r="E22" s="133"/>
      <c r="F22" s="133"/>
      <c r="G22" s="133"/>
      <c r="H22" s="120"/>
      <c r="I22" s="120"/>
      <c r="J22" s="120"/>
      <c r="K22" s="120"/>
      <c r="L22" s="133"/>
      <c r="M22" s="120"/>
      <c r="N22" s="120"/>
      <c r="O22" s="120"/>
      <c r="P22" s="120"/>
      <c r="Q22" s="133"/>
      <c r="R22" s="133"/>
      <c r="S22" s="133"/>
      <c r="T22" s="133"/>
      <c r="U22" s="133"/>
      <c r="V22" s="133"/>
      <c r="W22" s="73"/>
      <c r="X22" s="58" t="str">
        <f>MID($W22,COLUMN(A5),1)</f>
        <v/>
      </c>
      <c r="Y22" s="58" t="str">
        <f t="shared" ref="Y22:AO22" si="3">MID($W22,COLUMN(B4),1)</f>
        <v/>
      </c>
      <c r="Z22" s="58" t="str">
        <f t="shared" si="3"/>
        <v/>
      </c>
      <c r="AA22" s="58" t="str">
        <f t="shared" si="3"/>
        <v/>
      </c>
      <c r="AB22" s="58" t="str">
        <f t="shared" si="3"/>
        <v/>
      </c>
      <c r="AC22" s="58" t="str">
        <f t="shared" si="3"/>
        <v/>
      </c>
      <c r="AD22" s="58" t="str">
        <f t="shared" si="3"/>
        <v/>
      </c>
      <c r="AE22" s="58" t="str">
        <f t="shared" si="3"/>
        <v/>
      </c>
      <c r="AF22" s="58" t="str">
        <f t="shared" si="3"/>
        <v/>
      </c>
      <c r="AG22" s="58" t="str">
        <f t="shared" si="3"/>
        <v/>
      </c>
      <c r="AH22" s="58" t="str">
        <f t="shared" si="3"/>
        <v/>
      </c>
      <c r="AI22" s="58" t="str">
        <f t="shared" si="3"/>
        <v/>
      </c>
      <c r="AJ22" s="58" t="str">
        <f t="shared" si="3"/>
        <v/>
      </c>
      <c r="AK22" s="58" t="str">
        <f t="shared" si="3"/>
        <v/>
      </c>
      <c r="AL22" s="58" t="str">
        <f t="shared" si="3"/>
        <v/>
      </c>
      <c r="AM22" s="58" t="str">
        <f t="shared" si="3"/>
        <v/>
      </c>
      <c r="AN22" s="58" t="str">
        <f t="shared" si="3"/>
        <v/>
      </c>
      <c r="AO22" s="58" t="str">
        <f t="shared" si="3"/>
        <v/>
      </c>
      <c r="AP22" s="83" t="s">
        <v>101</v>
      </c>
      <c r="AQ22" s="83"/>
      <c r="AR22" s="84"/>
      <c r="AS22" s="85"/>
      <c r="AT22" s="86"/>
    </row>
    <row r="23" spans="1:46" ht="14.25" customHeight="1" thickBot="1"/>
    <row r="24" spans="1:46" ht="18">
      <c r="A24" s="127" t="s">
        <v>92</v>
      </c>
      <c r="B24" s="128">
        <v>3</v>
      </c>
      <c r="C24" s="131">
        <v>7</v>
      </c>
      <c r="D24" s="131">
        <v>8</v>
      </c>
      <c r="E24" s="131">
        <v>2</v>
      </c>
      <c r="F24" s="131">
        <v>0</v>
      </c>
      <c r="G24" s="131" t="s">
        <v>6</v>
      </c>
      <c r="H24" s="118">
        <v>6</v>
      </c>
      <c r="I24" s="118">
        <v>6</v>
      </c>
      <c r="J24" s="118" t="s">
        <v>86</v>
      </c>
      <c r="K24" s="118"/>
      <c r="L24" s="131" t="s">
        <v>6</v>
      </c>
      <c r="M24" s="118" t="s">
        <v>89</v>
      </c>
      <c r="N24" s="118" t="s">
        <v>89</v>
      </c>
      <c r="O24" s="118">
        <v>1</v>
      </c>
      <c r="P24" s="118">
        <v>2</v>
      </c>
      <c r="Q24" s="131" t="s">
        <v>6</v>
      </c>
      <c r="R24" s="131" t="s">
        <v>88</v>
      </c>
      <c r="S24" s="131">
        <v>6</v>
      </c>
      <c r="T24" s="131" t="s">
        <v>90</v>
      </c>
      <c r="U24" s="131">
        <v>6</v>
      </c>
      <c r="V24" s="131" t="s">
        <v>87</v>
      </c>
      <c r="W24" s="71" t="s">
        <v>131</v>
      </c>
      <c r="X24" s="57" t="str">
        <f t="shared" ref="X24:AG26" si="4">MID($W24,COLUMN(A8),1)</f>
        <v>3</v>
      </c>
      <c r="Y24" s="57" t="str">
        <f t="shared" si="4"/>
        <v>7</v>
      </c>
      <c r="Z24" s="57" t="str">
        <f t="shared" si="4"/>
        <v>8</v>
      </c>
      <c r="AA24" s="57" t="str">
        <f t="shared" si="4"/>
        <v>2</v>
      </c>
      <c r="AB24" s="57" t="str">
        <f t="shared" si="4"/>
        <v>0</v>
      </c>
      <c r="AC24" s="57" t="str">
        <f t="shared" si="4"/>
        <v>-</v>
      </c>
      <c r="AD24" s="57" t="str">
        <f t="shared" si="4"/>
        <v>6</v>
      </c>
      <c r="AE24" s="57" t="str">
        <f t="shared" si="4"/>
        <v>6</v>
      </c>
      <c r="AF24" s="57" t="str">
        <f t="shared" si="4"/>
        <v>V</v>
      </c>
      <c r="AG24" s="57" t="str">
        <f t="shared" si="4"/>
        <v xml:space="preserve"> </v>
      </c>
      <c r="AH24" s="57" t="str">
        <f t="shared" ref="AH24:AO26" si="5">MID($W24,COLUMN(K8),1)</f>
        <v>-</v>
      </c>
      <c r="AI24" s="57" t="str">
        <f t="shared" si="5"/>
        <v>J</v>
      </c>
      <c r="AJ24" s="57" t="str">
        <f t="shared" si="5"/>
        <v>0</v>
      </c>
      <c r="AK24" s="57" t="str">
        <f t="shared" si="5"/>
        <v>3</v>
      </c>
      <c r="AL24" s="57" t="str">
        <f t="shared" si="5"/>
        <v>0</v>
      </c>
      <c r="AM24" s="57" t="str">
        <f t="shared" si="5"/>
        <v>-</v>
      </c>
      <c r="AN24" s="57" t="str">
        <f t="shared" si="5"/>
        <v>M</v>
      </c>
      <c r="AO24" s="57" t="str">
        <f t="shared" si="5"/>
        <v>6</v>
      </c>
      <c r="AP24" s="74" t="s">
        <v>108</v>
      </c>
      <c r="AQ24" s="74" t="s">
        <v>105</v>
      </c>
      <c r="AR24" s="87" t="s">
        <v>37</v>
      </c>
      <c r="AS24" s="76" t="s">
        <v>126</v>
      </c>
      <c r="AT24" s="88"/>
    </row>
    <row r="25" spans="1:46" ht="18">
      <c r="A25" s="127"/>
      <c r="B25" s="129"/>
      <c r="C25" s="132"/>
      <c r="D25" s="132"/>
      <c r="E25" s="132"/>
      <c r="F25" s="132"/>
      <c r="G25" s="132"/>
      <c r="H25" s="119"/>
      <c r="I25" s="119"/>
      <c r="J25" s="119"/>
      <c r="K25" s="119"/>
      <c r="L25" s="132"/>
      <c r="M25" s="119"/>
      <c r="N25" s="119"/>
      <c r="O25" s="119"/>
      <c r="P25" s="119"/>
      <c r="Q25" s="132"/>
      <c r="R25" s="132"/>
      <c r="S25" s="132"/>
      <c r="T25" s="132"/>
      <c r="U25" s="132"/>
      <c r="V25" s="132"/>
      <c r="W25" s="72" t="s">
        <v>132</v>
      </c>
      <c r="X25" s="56" t="str">
        <f t="shared" si="4"/>
        <v>3</v>
      </c>
      <c r="Y25" s="56" t="str">
        <f t="shared" si="4"/>
        <v>7</v>
      </c>
      <c r="Z25" s="56" t="str">
        <f t="shared" si="4"/>
        <v>8</v>
      </c>
      <c r="AA25" s="56" t="str">
        <f t="shared" si="4"/>
        <v>2</v>
      </c>
      <c r="AB25" s="56" t="str">
        <f t="shared" si="4"/>
        <v>0</v>
      </c>
      <c r="AC25" s="56" t="str">
        <f t="shared" si="4"/>
        <v>-</v>
      </c>
      <c r="AD25" s="56" t="str">
        <f t="shared" si="4"/>
        <v>6</v>
      </c>
      <c r="AE25" s="56" t="str">
        <f t="shared" si="4"/>
        <v>6</v>
      </c>
      <c r="AF25" s="56" t="str">
        <f t="shared" si="4"/>
        <v>V</v>
      </c>
      <c r="AG25" s="56" t="str">
        <f t="shared" si="4"/>
        <v xml:space="preserve"> </v>
      </c>
      <c r="AH25" s="56" t="str">
        <f t="shared" si="5"/>
        <v>-</v>
      </c>
      <c r="AI25" s="56" t="str">
        <f t="shared" si="5"/>
        <v>U</v>
      </c>
      <c r="AJ25" s="56" t="str">
        <f t="shared" si="5"/>
        <v>0</v>
      </c>
      <c r="AK25" s="56" t="str">
        <f t="shared" si="5"/>
        <v>3</v>
      </c>
      <c r="AL25" s="56" t="str">
        <f t="shared" si="5"/>
        <v>0</v>
      </c>
      <c r="AM25" s="56" t="str">
        <f t="shared" si="5"/>
        <v>-</v>
      </c>
      <c r="AN25" s="56" t="str">
        <f t="shared" si="5"/>
        <v>M</v>
      </c>
      <c r="AO25" s="56" t="str">
        <f t="shared" si="5"/>
        <v>6</v>
      </c>
      <c r="AP25" s="89" t="s">
        <v>106</v>
      </c>
      <c r="AQ25" s="89" t="s">
        <v>107</v>
      </c>
      <c r="AR25" s="75" t="s">
        <v>38</v>
      </c>
      <c r="AS25" s="79" t="s">
        <v>126</v>
      </c>
      <c r="AT25" s="80"/>
    </row>
    <row r="26" spans="1:46" ht="18">
      <c r="A26" s="127"/>
      <c r="B26" s="129"/>
      <c r="C26" s="132"/>
      <c r="D26" s="132"/>
      <c r="E26" s="132"/>
      <c r="F26" s="132"/>
      <c r="G26" s="132"/>
      <c r="H26" s="119"/>
      <c r="I26" s="119"/>
      <c r="J26" s="119"/>
      <c r="K26" s="119"/>
      <c r="L26" s="132"/>
      <c r="M26" s="119"/>
      <c r="N26" s="119"/>
      <c r="O26" s="119"/>
      <c r="P26" s="119"/>
      <c r="Q26" s="132"/>
      <c r="R26" s="132"/>
      <c r="S26" s="132"/>
      <c r="T26" s="132"/>
      <c r="U26" s="132"/>
      <c r="V26" s="132"/>
      <c r="W26" s="72" t="s">
        <v>133</v>
      </c>
      <c r="X26" s="56" t="str">
        <f t="shared" si="4"/>
        <v>3</v>
      </c>
      <c r="Y26" s="56" t="str">
        <f t="shared" si="4"/>
        <v>7</v>
      </c>
      <c r="Z26" s="56" t="str">
        <f t="shared" si="4"/>
        <v>8</v>
      </c>
      <c r="AA26" s="56" t="str">
        <f t="shared" si="4"/>
        <v>2</v>
      </c>
      <c r="AB26" s="56" t="str">
        <f t="shared" si="4"/>
        <v>0</v>
      </c>
      <c r="AC26" s="56" t="str">
        <f t="shared" si="4"/>
        <v>-</v>
      </c>
      <c r="AD26" s="56" t="str">
        <f t="shared" si="4"/>
        <v>6</v>
      </c>
      <c r="AE26" s="56" t="str">
        <f t="shared" si="4"/>
        <v>6</v>
      </c>
      <c r="AF26" s="56" t="str">
        <f t="shared" si="4"/>
        <v>V</v>
      </c>
      <c r="AG26" s="56" t="str">
        <f t="shared" si="4"/>
        <v xml:space="preserve"> </v>
      </c>
      <c r="AH26" s="56" t="str">
        <f t="shared" si="5"/>
        <v>-</v>
      </c>
      <c r="AI26" s="56" t="str">
        <f t="shared" si="5"/>
        <v>Z</v>
      </c>
      <c r="AJ26" s="56" t="str">
        <f t="shared" si="5"/>
        <v>0</v>
      </c>
      <c r="AK26" s="56" t="str">
        <f t="shared" si="5"/>
        <v>3</v>
      </c>
      <c r="AL26" s="56" t="str">
        <f t="shared" si="5"/>
        <v>0</v>
      </c>
      <c r="AM26" s="56" t="str">
        <f t="shared" si="5"/>
        <v>-</v>
      </c>
      <c r="AN26" s="56" t="str">
        <f t="shared" si="5"/>
        <v>M</v>
      </c>
      <c r="AO26" s="56" t="str">
        <f t="shared" si="5"/>
        <v>6</v>
      </c>
      <c r="AP26" s="78" t="s">
        <v>109</v>
      </c>
      <c r="AQ26" s="78" t="s">
        <v>110</v>
      </c>
      <c r="AR26" s="75" t="s">
        <v>39</v>
      </c>
      <c r="AS26" s="79" t="s">
        <v>126</v>
      </c>
      <c r="AT26" s="80"/>
    </row>
    <row r="27" spans="1:46" ht="18">
      <c r="A27" s="127"/>
      <c r="B27" s="129"/>
      <c r="C27" s="132"/>
      <c r="D27" s="132"/>
      <c r="E27" s="132"/>
      <c r="F27" s="132"/>
      <c r="G27" s="132"/>
      <c r="H27" s="119"/>
      <c r="I27" s="119"/>
      <c r="J27" s="119"/>
      <c r="K27" s="119"/>
      <c r="L27" s="132"/>
      <c r="M27" s="119"/>
      <c r="N27" s="119"/>
      <c r="O27" s="119"/>
      <c r="P27" s="119"/>
      <c r="Q27" s="132"/>
      <c r="R27" s="132"/>
      <c r="S27" s="132"/>
      <c r="T27" s="132"/>
      <c r="U27" s="132"/>
      <c r="V27" s="132"/>
      <c r="W27" s="72" t="s">
        <v>134</v>
      </c>
      <c r="X27" s="56" t="str">
        <f>MID($W27,COLUMN(A11),1)</f>
        <v>3</v>
      </c>
      <c r="Y27" s="56" t="str">
        <f t="shared" ref="Y27" si="6">MID($W27,COLUMN(B11),1)</f>
        <v>7</v>
      </c>
      <c r="Z27" s="56" t="str">
        <f t="shared" ref="Z27" si="7">MID($W27,COLUMN(C11),1)</f>
        <v>8</v>
      </c>
      <c r="AA27" s="56" t="str">
        <f t="shared" ref="AA27" si="8">MID($W27,COLUMN(D11),1)</f>
        <v>2</v>
      </c>
      <c r="AB27" s="56" t="str">
        <f t="shared" ref="AB27" si="9">MID($W27,COLUMN(E11),1)</f>
        <v>0</v>
      </c>
      <c r="AC27" s="56" t="str">
        <f t="shared" ref="AC27" si="10">MID($W27,COLUMN(F11),1)</f>
        <v>-</v>
      </c>
      <c r="AD27" s="56" t="str">
        <f t="shared" ref="AD27" si="11">MID($W27,COLUMN(G11),1)</f>
        <v>6</v>
      </c>
      <c r="AE27" s="56" t="str">
        <f t="shared" ref="AE27" si="12">MID($W27,COLUMN(H11),1)</f>
        <v>6</v>
      </c>
      <c r="AF27" s="56" t="str">
        <f t="shared" ref="AF27" si="13">MID($W27,COLUMN(I11),1)</f>
        <v>V</v>
      </c>
      <c r="AG27" s="56" t="str">
        <f t="shared" ref="AG27" si="14">MID($W27,COLUMN(J11),1)</f>
        <v xml:space="preserve"> </v>
      </c>
      <c r="AH27" s="56" t="str">
        <f t="shared" ref="AH27" si="15">MID($W27,COLUMN(K11),1)</f>
        <v>-</v>
      </c>
      <c r="AI27" s="56" t="str">
        <f t="shared" ref="AI27" si="16">MID($W27,COLUMN(L11),1)</f>
        <v>E</v>
      </c>
      <c r="AJ27" s="56" t="str">
        <f t="shared" ref="AJ27" si="17">MID($W27,COLUMN(M11),1)</f>
        <v>0</v>
      </c>
      <c r="AK27" s="56" t="str">
        <f t="shared" ref="AK27" si="18">MID($W27,COLUMN(N11),1)</f>
        <v>3</v>
      </c>
      <c r="AL27" s="56" t="str">
        <f t="shared" ref="AL27" si="19">MID($W27,COLUMN(O11),1)</f>
        <v>0</v>
      </c>
      <c r="AM27" s="56" t="str">
        <f t="shared" ref="AM27" si="20">MID($W27,COLUMN(P11),1)</f>
        <v>-</v>
      </c>
      <c r="AN27" s="56" t="str">
        <f t="shared" ref="AN27" si="21">MID($W27,COLUMN(Q11),1)</f>
        <v>M</v>
      </c>
      <c r="AO27" s="56" t="str">
        <f t="shared" ref="AO27" si="22">MID($W27,COLUMN(R11),1)</f>
        <v>6</v>
      </c>
      <c r="AP27" s="78" t="s">
        <v>113</v>
      </c>
      <c r="AQ27" s="81" t="s">
        <v>111</v>
      </c>
      <c r="AR27" s="75" t="s">
        <v>40</v>
      </c>
      <c r="AS27" s="79" t="s">
        <v>126</v>
      </c>
      <c r="AT27" s="80"/>
    </row>
    <row r="28" spans="1:46" ht="18.5" thickBot="1">
      <c r="A28" s="127"/>
      <c r="B28" s="130"/>
      <c r="C28" s="133"/>
      <c r="D28" s="133"/>
      <c r="E28" s="133"/>
      <c r="F28" s="133"/>
      <c r="G28" s="133"/>
      <c r="H28" s="120"/>
      <c r="I28" s="120"/>
      <c r="J28" s="120"/>
      <c r="K28" s="120"/>
      <c r="L28" s="133"/>
      <c r="M28" s="120"/>
      <c r="N28" s="120"/>
      <c r="O28" s="120"/>
      <c r="P28" s="120"/>
      <c r="Q28" s="133"/>
      <c r="R28" s="133"/>
      <c r="S28" s="133"/>
      <c r="T28" s="133"/>
      <c r="U28" s="133"/>
      <c r="V28" s="133"/>
      <c r="W28" s="73" t="s">
        <v>135</v>
      </c>
      <c r="X28" s="58" t="str">
        <f>MID($W28,COLUMN(A12),1)</f>
        <v>3</v>
      </c>
      <c r="Y28" s="58" t="str">
        <f t="shared" ref="Y28" si="23">MID($W28,COLUMN(B11),1)</f>
        <v>7</v>
      </c>
      <c r="Z28" s="58" t="str">
        <f t="shared" ref="Z28" si="24">MID($W28,COLUMN(C11),1)</f>
        <v>8</v>
      </c>
      <c r="AA28" s="58" t="str">
        <f t="shared" ref="AA28" si="25">MID($W28,COLUMN(D11),1)</f>
        <v>2</v>
      </c>
      <c r="AB28" s="58" t="str">
        <f t="shared" ref="AB28" si="26">MID($W28,COLUMN(E11),1)</f>
        <v>0</v>
      </c>
      <c r="AC28" s="58" t="str">
        <f t="shared" ref="AC28" si="27">MID($W28,COLUMN(F11),1)</f>
        <v>-</v>
      </c>
      <c r="AD28" s="58" t="str">
        <f t="shared" ref="AD28" si="28">MID($W28,COLUMN(G11),1)</f>
        <v>6</v>
      </c>
      <c r="AE28" s="58" t="str">
        <f t="shared" ref="AE28" si="29">MID($W28,COLUMN(H11),1)</f>
        <v>6</v>
      </c>
      <c r="AF28" s="58" t="str">
        <f t="shared" ref="AF28" si="30">MID($W28,COLUMN(I11),1)</f>
        <v>V</v>
      </c>
      <c r="AG28" s="58" t="str">
        <f t="shared" ref="AG28" si="31">MID($W28,COLUMN(J11),1)</f>
        <v xml:space="preserve"> </v>
      </c>
      <c r="AH28" s="58" t="str">
        <f t="shared" ref="AH28" si="32">MID($W28,COLUMN(K11),1)</f>
        <v>-</v>
      </c>
      <c r="AI28" s="58" t="str">
        <f t="shared" ref="AI28" si="33">MID($W28,COLUMN(L11),1)</f>
        <v>B</v>
      </c>
      <c r="AJ28" s="58" t="str">
        <f t="shared" ref="AJ28" si="34">MID($W28,COLUMN(M11),1)</f>
        <v>0</v>
      </c>
      <c r="AK28" s="58" t="str">
        <f t="shared" ref="AK28" si="35">MID($W28,COLUMN(N11),1)</f>
        <v>3</v>
      </c>
      <c r="AL28" s="58" t="str">
        <f t="shared" ref="AL28" si="36">MID($W28,COLUMN(O11),1)</f>
        <v>0</v>
      </c>
      <c r="AM28" s="58" t="str">
        <f t="shared" ref="AM28" si="37">MID($W28,COLUMN(P11),1)</f>
        <v>-</v>
      </c>
      <c r="AN28" s="58" t="str">
        <f t="shared" ref="AN28" si="38">MID($W28,COLUMN(Q11),1)</f>
        <v>M</v>
      </c>
      <c r="AO28" s="58" t="str">
        <f t="shared" ref="AO28" si="39">MID($W28,COLUMN(R11),1)</f>
        <v>6</v>
      </c>
      <c r="AP28" s="83" t="s">
        <v>114</v>
      </c>
      <c r="AQ28" s="83" t="s">
        <v>112</v>
      </c>
      <c r="AR28" s="84" t="s">
        <v>41</v>
      </c>
      <c r="AS28" s="85" t="s">
        <v>126</v>
      </c>
      <c r="AT28" s="86"/>
    </row>
    <row r="29" spans="1:46" ht="14.25" customHeight="1" thickBot="1">
      <c r="W29" s="61"/>
    </row>
    <row r="30" spans="1:46" ht="18">
      <c r="A30" s="127" t="s">
        <v>93</v>
      </c>
      <c r="B30" s="128">
        <v>3</v>
      </c>
      <c r="C30" s="131">
        <v>7</v>
      </c>
      <c r="D30" s="131">
        <v>8</v>
      </c>
      <c r="E30" s="131">
        <v>2</v>
      </c>
      <c r="F30" s="131">
        <v>0</v>
      </c>
      <c r="G30" s="131" t="s">
        <v>6</v>
      </c>
      <c r="H30" s="118">
        <v>6</v>
      </c>
      <c r="I30" s="118">
        <v>6</v>
      </c>
      <c r="J30" s="118" t="s">
        <v>86</v>
      </c>
      <c r="K30" s="118"/>
      <c r="L30" s="131" t="s">
        <v>6</v>
      </c>
      <c r="M30" s="118" t="s">
        <v>89</v>
      </c>
      <c r="N30" s="118" t="s">
        <v>89</v>
      </c>
      <c r="O30" s="118">
        <v>1</v>
      </c>
      <c r="P30" s="118">
        <v>2</v>
      </c>
      <c r="Q30" s="131" t="s">
        <v>6</v>
      </c>
      <c r="R30" s="131" t="s">
        <v>88</v>
      </c>
      <c r="S30" s="131">
        <v>6</v>
      </c>
      <c r="T30" s="131" t="s">
        <v>90</v>
      </c>
      <c r="U30" s="131">
        <v>6</v>
      </c>
      <c r="V30" s="131" t="s">
        <v>87</v>
      </c>
      <c r="W30" s="71" t="s">
        <v>136</v>
      </c>
      <c r="X30" s="57" t="str">
        <f t="shared" ref="X30:AG32" si="40">MID($W30,COLUMN(A14),1)</f>
        <v>3</v>
      </c>
      <c r="Y30" s="57" t="str">
        <f t="shared" si="40"/>
        <v>7</v>
      </c>
      <c r="Z30" s="57" t="str">
        <f t="shared" si="40"/>
        <v>8</v>
      </c>
      <c r="AA30" s="57" t="str">
        <f t="shared" si="40"/>
        <v>2</v>
      </c>
      <c r="AB30" s="57" t="str">
        <f t="shared" si="40"/>
        <v>0</v>
      </c>
      <c r="AC30" s="57" t="str">
        <f t="shared" si="40"/>
        <v>-</v>
      </c>
      <c r="AD30" s="57" t="str">
        <f t="shared" si="40"/>
        <v>6</v>
      </c>
      <c r="AE30" s="57" t="str">
        <f t="shared" si="40"/>
        <v>6</v>
      </c>
      <c r="AF30" s="57" t="str">
        <f t="shared" si="40"/>
        <v>V</v>
      </c>
      <c r="AG30" s="57" t="str">
        <f t="shared" si="40"/>
        <v xml:space="preserve"> </v>
      </c>
      <c r="AH30" s="57" t="str">
        <f t="shared" ref="AH30:AO32" si="41">MID($W30,COLUMN(K14),1)</f>
        <v>-</v>
      </c>
      <c r="AI30" s="57" t="str">
        <f t="shared" si="41"/>
        <v>W</v>
      </c>
      <c r="AJ30" s="57" t="str">
        <f t="shared" si="41"/>
        <v>0</v>
      </c>
      <c r="AK30" s="57" t="str">
        <f t="shared" si="41"/>
        <v>3</v>
      </c>
      <c r="AL30" s="57" t="str">
        <f t="shared" si="41"/>
        <v>0</v>
      </c>
      <c r="AM30" s="57" t="str">
        <f t="shared" si="41"/>
        <v>-</v>
      </c>
      <c r="AN30" s="57" t="str">
        <f t="shared" si="41"/>
        <v>M</v>
      </c>
      <c r="AO30" s="57" t="str">
        <f t="shared" si="41"/>
        <v>6</v>
      </c>
      <c r="AP30" s="74" t="s">
        <v>116</v>
      </c>
      <c r="AQ30" s="74" t="s">
        <v>115</v>
      </c>
      <c r="AR30" s="87" t="s">
        <v>42</v>
      </c>
      <c r="AS30" s="76" t="s">
        <v>126</v>
      </c>
      <c r="AT30" s="88"/>
    </row>
    <row r="31" spans="1:46" ht="18">
      <c r="A31" s="127"/>
      <c r="B31" s="129"/>
      <c r="C31" s="132"/>
      <c r="D31" s="132"/>
      <c r="E31" s="132"/>
      <c r="F31" s="132"/>
      <c r="G31" s="132"/>
      <c r="H31" s="119"/>
      <c r="I31" s="119"/>
      <c r="J31" s="119"/>
      <c r="K31" s="119"/>
      <c r="L31" s="132"/>
      <c r="M31" s="119"/>
      <c r="N31" s="119"/>
      <c r="O31" s="119"/>
      <c r="P31" s="119"/>
      <c r="Q31" s="132"/>
      <c r="R31" s="132"/>
      <c r="S31" s="132"/>
      <c r="T31" s="132"/>
      <c r="U31" s="132"/>
      <c r="V31" s="132"/>
      <c r="W31" s="72" t="s">
        <v>137</v>
      </c>
      <c r="X31" s="56" t="str">
        <f t="shared" si="40"/>
        <v>3</v>
      </c>
      <c r="Y31" s="56" t="str">
        <f t="shared" si="40"/>
        <v>7</v>
      </c>
      <c r="Z31" s="56" t="str">
        <f t="shared" si="40"/>
        <v>8</v>
      </c>
      <c r="AA31" s="56" t="str">
        <f t="shared" si="40"/>
        <v>2</v>
      </c>
      <c r="AB31" s="56" t="str">
        <f t="shared" si="40"/>
        <v>0</v>
      </c>
      <c r="AC31" s="56" t="str">
        <f t="shared" si="40"/>
        <v>-</v>
      </c>
      <c r="AD31" s="56" t="str">
        <f t="shared" si="40"/>
        <v>6</v>
      </c>
      <c r="AE31" s="56" t="str">
        <f t="shared" si="40"/>
        <v>6</v>
      </c>
      <c r="AF31" s="56" t="str">
        <f t="shared" si="40"/>
        <v>V</v>
      </c>
      <c r="AG31" s="56" t="str">
        <f t="shared" si="40"/>
        <v xml:space="preserve"> </v>
      </c>
      <c r="AH31" s="56" t="str">
        <f t="shared" si="41"/>
        <v>-</v>
      </c>
      <c r="AI31" s="56" t="str">
        <f t="shared" si="41"/>
        <v>H</v>
      </c>
      <c r="AJ31" s="56" t="str">
        <f t="shared" si="41"/>
        <v>0</v>
      </c>
      <c r="AK31" s="56" t="str">
        <f t="shared" si="41"/>
        <v>3</v>
      </c>
      <c r="AL31" s="56" t="str">
        <f t="shared" si="41"/>
        <v>0</v>
      </c>
      <c r="AM31" s="56" t="str">
        <f t="shared" si="41"/>
        <v>-</v>
      </c>
      <c r="AN31" s="56" t="str">
        <f t="shared" si="41"/>
        <v>M</v>
      </c>
      <c r="AO31" s="56" t="str">
        <f t="shared" si="41"/>
        <v>6</v>
      </c>
      <c r="AP31" s="78" t="s">
        <v>117</v>
      </c>
      <c r="AQ31" s="78" t="s">
        <v>118</v>
      </c>
      <c r="AR31" s="75" t="s">
        <v>43</v>
      </c>
      <c r="AS31" s="79" t="s">
        <v>126</v>
      </c>
      <c r="AT31" s="80"/>
    </row>
    <row r="32" spans="1:46" ht="18">
      <c r="A32" s="127"/>
      <c r="B32" s="129"/>
      <c r="C32" s="132"/>
      <c r="D32" s="132"/>
      <c r="E32" s="132"/>
      <c r="F32" s="132"/>
      <c r="G32" s="132"/>
      <c r="H32" s="119"/>
      <c r="I32" s="119"/>
      <c r="J32" s="119"/>
      <c r="K32" s="119"/>
      <c r="L32" s="132"/>
      <c r="M32" s="119"/>
      <c r="N32" s="119"/>
      <c r="O32" s="119"/>
      <c r="P32" s="119"/>
      <c r="Q32" s="132"/>
      <c r="R32" s="132"/>
      <c r="S32" s="132"/>
      <c r="T32" s="132"/>
      <c r="U32" s="132"/>
      <c r="V32" s="132"/>
      <c r="W32" s="72" t="s">
        <v>138</v>
      </c>
      <c r="X32" s="56" t="str">
        <f t="shared" si="40"/>
        <v>3</v>
      </c>
      <c r="Y32" s="56" t="str">
        <f t="shared" si="40"/>
        <v>7</v>
      </c>
      <c r="Z32" s="56" t="str">
        <f t="shared" si="40"/>
        <v>8</v>
      </c>
      <c r="AA32" s="56" t="str">
        <f t="shared" si="40"/>
        <v>2</v>
      </c>
      <c r="AB32" s="56" t="str">
        <f t="shared" si="40"/>
        <v>0</v>
      </c>
      <c r="AC32" s="56" t="str">
        <f t="shared" si="40"/>
        <v>-</v>
      </c>
      <c r="AD32" s="56" t="str">
        <f t="shared" si="40"/>
        <v>6</v>
      </c>
      <c r="AE32" s="56" t="str">
        <f t="shared" si="40"/>
        <v>6</v>
      </c>
      <c r="AF32" s="56" t="str">
        <f t="shared" si="40"/>
        <v>V</v>
      </c>
      <c r="AG32" s="56" t="str">
        <f t="shared" si="40"/>
        <v xml:space="preserve"> </v>
      </c>
      <c r="AH32" s="56" t="str">
        <f t="shared" si="41"/>
        <v>-</v>
      </c>
      <c r="AI32" s="56" t="str">
        <f t="shared" si="41"/>
        <v>M</v>
      </c>
      <c r="AJ32" s="56" t="str">
        <f t="shared" si="41"/>
        <v>0</v>
      </c>
      <c r="AK32" s="56" t="str">
        <f t="shared" si="41"/>
        <v>3</v>
      </c>
      <c r="AL32" s="56" t="str">
        <f t="shared" si="41"/>
        <v>0</v>
      </c>
      <c r="AM32" s="56" t="str">
        <f t="shared" si="41"/>
        <v>-</v>
      </c>
      <c r="AN32" s="56" t="str">
        <f t="shared" si="41"/>
        <v>M</v>
      </c>
      <c r="AO32" s="56" t="str">
        <f t="shared" si="41"/>
        <v>6</v>
      </c>
      <c r="AP32" s="90" t="s">
        <v>119</v>
      </c>
      <c r="AQ32" s="89" t="s">
        <v>120</v>
      </c>
      <c r="AR32" s="75" t="s">
        <v>44</v>
      </c>
      <c r="AS32" s="79" t="s">
        <v>126</v>
      </c>
      <c r="AT32" s="80"/>
    </row>
    <row r="33" spans="1:46" ht="18">
      <c r="A33" s="127"/>
      <c r="B33" s="129"/>
      <c r="C33" s="132"/>
      <c r="D33" s="132"/>
      <c r="E33" s="132"/>
      <c r="F33" s="132"/>
      <c r="G33" s="132"/>
      <c r="H33" s="119"/>
      <c r="I33" s="119"/>
      <c r="J33" s="119"/>
      <c r="K33" s="119"/>
      <c r="L33" s="132"/>
      <c r="M33" s="119"/>
      <c r="N33" s="119"/>
      <c r="O33" s="119"/>
      <c r="P33" s="119"/>
      <c r="Q33" s="132"/>
      <c r="R33" s="132"/>
      <c r="S33" s="132"/>
      <c r="T33" s="132"/>
      <c r="U33" s="132"/>
      <c r="V33" s="132"/>
      <c r="W33" s="72" t="s">
        <v>139</v>
      </c>
      <c r="X33" s="56" t="str">
        <f>MID($W33,COLUMN(A17),1)</f>
        <v>3</v>
      </c>
      <c r="Y33" s="56" t="str">
        <f t="shared" ref="Y33" si="42">MID($W33,COLUMN(B17),1)</f>
        <v>7</v>
      </c>
      <c r="Z33" s="56" t="str">
        <f t="shared" ref="Z33" si="43">MID($W33,COLUMN(C17),1)</f>
        <v>8</v>
      </c>
      <c r="AA33" s="56" t="str">
        <f t="shared" ref="AA33" si="44">MID($W33,COLUMN(D17),1)</f>
        <v>2</v>
      </c>
      <c r="AB33" s="56" t="str">
        <f t="shared" ref="AB33" si="45">MID($W33,COLUMN(E17),1)</f>
        <v>0</v>
      </c>
      <c r="AC33" s="56" t="str">
        <f t="shared" ref="AC33" si="46">MID($W33,COLUMN(F17),1)</f>
        <v>-</v>
      </c>
      <c r="AD33" s="56" t="str">
        <f t="shared" ref="AD33" si="47">MID($W33,COLUMN(G17),1)</f>
        <v>6</v>
      </c>
      <c r="AE33" s="56" t="str">
        <f t="shared" ref="AE33" si="48">MID($W33,COLUMN(H17),1)</f>
        <v>6</v>
      </c>
      <c r="AF33" s="56" t="str">
        <f t="shared" ref="AF33" si="49">MID($W33,COLUMN(I17),1)</f>
        <v>V</v>
      </c>
      <c r="AG33" s="56" t="str">
        <f t="shared" ref="AG33" si="50">MID($W33,COLUMN(J17),1)</f>
        <v xml:space="preserve"> </v>
      </c>
      <c r="AH33" s="56" t="str">
        <f t="shared" ref="AH33" si="51">MID($W33,COLUMN(K17),1)</f>
        <v>-</v>
      </c>
      <c r="AI33" s="56" t="str">
        <f t="shared" ref="AI33" si="52">MID($W33,COLUMN(L17),1)</f>
        <v>Y</v>
      </c>
      <c r="AJ33" s="56" t="str">
        <f t="shared" ref="AJ33" si="53">MID($W33,COLUMN(M17),1)</f>
        <v>0</v>
      </c>
      <c r="AK33" s="56" t="str">
        <f t="shared" ref="AK33" si="54">MID($W33,COLUMN(N17),1)</f>
        <v>3</v>
      </c>
      <c r="AL33" s="56" t="str">
        <f t="shared" ref="AL33" si="55">MID($W33,COLUMN(O17),1)</f>
        <v>0</v>
      </c>
      <c r="AM33" s="56" t="str">
        <f t="shared" ref="AM33" si="56">MID($W33,COLUMN(P17),1)</f>
        <v>-</v>
      </c>
      <c r="AN33" s="56" t="str">
        <f t="shared" ref="AN33" si="57">MID($W33,COLUMN(Q17),1)</f>
        <v>M</v>
      </c>
      <c r="AO33" s="56" t="str">
        <f t="shared" ref="AO33" si="58">MID($W33,COLUMN(R17),1)</f>
        <v>6</v>
      </c>
      <c r="AP33" s="78" t="s">
        <v>121</v>
      </c>
      <c r="AQ33" s="81" t="s">
        <v>122</v>
      </c>
      <c r="AR33" s="75" t="s">
        <v>45</v>
      </c>
      <c r="AS33" s="79" t="s">
        <v>126</v>
      </c>
      <c r="AT33" s="80"/>
    </row>
    <row r="34" spans="1:46" ht="18.5" thickBot="1">
      <c r="A34" s="127"/>
      <c r="B34" s="130"/>
      <c r="C34" s="133"/>
      <c r="D34" s="133"/>
      <c r="E34" s="133"/>
      <c r="F34" s="133"/>
      <c r="G34" s="133"/>
      <c r="H34" s="120"/>
      <c r="I34" s="120"/>
      <c r="J34" s="120"/>
      <c r="K34" s="120"/>
      <c r="L34" s="133"/>
      <c r="M34" s="120"/>
      <c r="N34" s="120"/>
      <c r="O34" s="120"/>
      <c r="P34" s="120"/>
      <c r="Q34" s="133"/>
      <c r="R34" s="133"/>
      <c r="S34" s="133"/>
      <c r="T34" s="133"/>
      <c r="U34" s="133"/>
      <c r="V34" s="133"/>
      <c r="W34" s="73" t="s">
        <v>140</v>
      </c>
      <c r="X34" s="58" t="str">
        <f>MID($W34,COLUMN(A18),1)</f>
        <v>3</v>
      </c>
      <c r="Y34" s="58" t="str">
        <f t="shared" ref="Y34" si="59">MID($W34,COLUMN(B17),1)</f>
        <v>7</v>
      </c>
      <c r="Z34" s="58" t="str">
        <f t="shared" ref="Z34" si="60">MID($W34,COLUMN(C17),1)</f>
        <v>8</v>
      </c>
      <c r="AA34" s="58" t="str">
        <f t="shared" ref="AA34" si="61">MID($W34,COLUMN(D17),1)</f>
        <v>2</v>
      </c>
      <c r="AB34" s="58" t="str">
        <f t="shared" ref="AB34" si="62">MID($W34,COLUMN(E17),1)</f>
        <v>0</v>
      </c>
      <c r="AC34" s="58" t="str">
        <f t="shared" ref="AC34" si="63">MID($W34,COLUMN(F17),1)</f>
        <v>-</v>
      </c>
      <c r="AD34" s="58" t="str">
        <f t="shared" ref="AD34" si="64">MID($W34,COLUMN(G17),1)</f>
        <v>6</v>
      </c>
      <c r="AE34" s="58" t="str">
        <f t="shared" ref="AE34" si="65">MID($W34,COLUMN(H17),1)</f>
        <v>6</v>
      </c>
      <c r="AF34" s="58" t="str">
        <f t="shared" ref="AF34" si="66">MID($W34,COLUMN(I17),1)</f>
        <v>V</v>
      </c>
      <c r="AG34" s="58" t="str">
        <f t="shared" ref="AG34" si="67">MID($W34,COLUMN(J17),1)</f>
        <v xml:space="preserve"> </v>
      </c>
      <c r="AH34" s="58" t="str">
        <f t="shared" ref="AH34" si="68">MID($W34,COLUMN(K17),1)</f>
        <v>-</v>
      </c>
      <c r="AI34" s="58" t="str">
        <f t="shared" ref="AI34" si="69">MID($W34,COLUMN(L17),1)</f>
        <v>R</v>
      </c>
      <c r="AJ34" s="58" t="str">
        <f t="shared" ref="AJ34" si="70">MID($W34,COLUMN(M17),1)</f>
        <v>0</v>
      </c>
      <c r="AK34" s="58" t="str">
        <f t="shared" ref="AK34" si="71">MID($W34,COLUMN(N17),1)</f>
        <v>3</v>
      </c>
      <c r="AL34" s="58" t="str">
        <f t="shared" ref="AL34" si="72">MID($W34,COLUMN(O17),1)</f>
        <v>0</v>
      </c>
      <c r="AM34" s="58" t="str">
        <f t="shared" ref="AM34" si="73">MID($W34,COLUMN(P17),1)</f>
        <v>-</v>
      </c>
      <c r="AN34" s="58" t="str">
        <f t="shared" ref="AN34" si="74">MID($W34,COLUMN(Q17),1)</f>
        <v>M</v>
      </c>
      <c r="AO34" s="58" t="str">
        <f t="shared" ref="AO34" si="75">MID($W34,COLUMN(R17),1)</f>
        <v>6</v>
      </c>
      <c r="AP34" s="83" t="s">
        <v>123</v>
      </c>
      <c r="AQ34" s="83" t="s">
        <v>124</v>
      </c>
      <c r="AR34" s="84" t="s">
        <v>46</v>
      </c>
      <c r="AS34" s="85" t="s">
        <v>126</v>
      </c>
      <c r="AT34" s="86"/>
    </row>
  </sheetData>
  <sheetProtection sheet="1" objects="1" scenarios="1"/>
  <mergeCells count="75">
    <mergeCell ref="AM1:AN1"/>
    <mergeCell ref="AG9:AO9"/>
    <mergeCell ref="B5:AO8"/>
    <mergeCell ref="B4:H4"/>
    <mergeCell ref="AG10:AO10"/>
    <mergeCell ref="U18:U22"/>
    <mergeCell ref="U24:U28"/>
    <mergeCell ref="U30:U34"/>
    <mergeCell ref="B2:AO3"/>
    <mergeCell ref="B12:AO12"/>
    <mergeCell ref="P30:P34"/>
    <mergeCell ref="Q30:Q34"/>
    <mergeCell ref="R30:R34"/>
    <mergeCell ref="S30:S34"/>
    <mergeCell ref="T30:T34"/>
    <mergeCell ref="V30:V34"/>
    <mergeCell ref="J30:J34"/>
    <mergeCell ref="K30:K34"/>
    <mergeCell ref="L30:L34"/>
    <mergeCell ref="M30:M34"/>
    <mergeCell ref="N30:N34"/>
    <mergeCell ref="O30:O34"/>
    <mergeCell ref="V24:V28"/>
    <mergeCell ref="A30:A34"/>
    <mergeCell ref="B30:B34"/>
    <mergeCell ref="C30:C34"/>
    <mergeCell ref="D30:D34"/>
    <mergeCell ref="E30:E34"/>
    <mergeCell ref="F30:F34"/>
    <mergeCell ref="G30:G34"/>
    <mergeCell ref="H30:H34"/>
    <mergeCell ref="I30:I34"/>
    <mergeCell ref="O24:O28"/>
    <mergeCell ref="P24:P28"/>
    <mergeCell ref="Q24:Q28"/>
    <mergeCell ref="R24:R28"/>
    <mergeCell ref="S24:S28"/>
    <mergeCell ref="T24:T28"/>
    <mergeCell ref="I24:I28"/>
    <mergeCell ref="J24:J28"/>
    <mergeCell ref="K24:K28"/>
    <mergeCell ref="L24:L28"/>
    <mergeCell ref="M24:M28"/>
    <mergeCell ref="N24:N28"/>
    <mergeCell ref="M18:M22"/>
    <mergeCell ref="N18:N22"/>
    <mergeCell ref="O18:O22"/>
    <mergeCell ref="R18:R22"/>
    <mergeCell ref="S18:S22"/>
    <mergeCell ref="E24:E28"/>
    <mergeCell ref="F24:F28"/>
    <mergeCell ref="G24:G28"/>
    <mergeCell ref="H24:H28"/>
    <mergeCell ref="L18:L22"/>
    <mergeCell ref="A18:A22"/>
    <mergeCell ref="A24:A28"/>
    <mergeCell ref="B24:B28"/>
    <mergeCell ref="C24:C28"/>
    <mergeCell ref="D24:D28"/>
    <mergeCell ref="X17:AO17"/>
    <mergeCell ref="C18:C22"/>
    <mergeCell ref="D18:D22"/>
    <mergeCell ref="E18:E22"/>
    <mergeCell ref="F18:F22"/>
    <mergeCell ref="G18:G22"/>
    <mergeCell ref="K18:K22"/>
    <mergeCell ref="V18:V22"/>
    <mergeCell ref="B17:V17"/>
    <mergeCell ref="B18:B22"/>
    <mergeCell ref="H18:H22"/>
    <mergeCell ref="I18:I22"/>
    <mergeCell ref="J18:J22"/>
    <mergeCell ref="P18:P22"/>
    <mergeCell ref="Q18:Q22"/>
    <mergeCell ref="T18:T22"/>
  </mergeCells>
  <phoneticPr fontId="3"/>
  <conditionalFormatting sqref="AG18:AG22">
    <cfRule type="expression" dxfId="35" priority="38">
      <formula>AG18&lt;&gt;" "</formula>
    </cfRule>
  </conditionalFormatting>
  <conditionalFormatting sqref="AH18:AH22">
    <cfRule type="expression" dxfId="34" priority="37">
      <formula>AH18&lt;&gt;"-"</formula>
    </cfRule>
  </conditionalFormatting>
  <conditionalFormatting sqref="AC18:AC22">
    <cfRule type="expression" dxfId="33" priority="36">
      <formula>AC18&lt;&gt;"-"</formula>
    </cfRule>
  </conditionalFormatting>
  <conditionalFormatting sqref="AM18:AM22">
    <cfRule type="expression" dxfId="32" priority="35">
      <formula>AM18&lt;&gt;"-"</formula>
    </cfRule>
  </conditionalFormatting>
  <conditionalFormatting sqref="AN18:AN22">
    <cfRule type="expression" dxfId="31" priority="34">
      <formula>AN18&lt;&gt;"M"</formula>
    </cfRule>
  </conditionalFormatting>
  <conditionalFormatting sqref="AO18:AO22">
    <cfRule type="expression" dxfId="30" priority="33">
      <formula>AO18&lt;&gt;"6"</formula>
    </cfRule>
  </conditionalFormatting>
  <conditionalFormatting sqref="X18:X22">
    <cfRule type="expression" dxfId="29" priority="32">
      <formula>X18&lt;&gt;"3"</formula>
    </cfRule>
  </conditionalFormatting>
  <conditionalFormatting sqref="Y18:Y22">
    <cfRule type="expression" dxfId="28" priority="31">
      <formula>Y18&lt;&gt;"7"</formula>
    </cfRule>
  </conditionalFormatting>
  <conditionalFormatting sqref="Z18:Z22">
    <cfRule type="expression" dxfId="27" priority="30">
      <formula>Z18&lt;&gt;"8"</formula>
    </cfRule>
  </conditionalFormatting>
  <conditionalFormatting sqref="AA18:AA22">
    <cfRule type="expression" dxfId="26" priority="29">
      <formula>AA18&lt;&gt;"2"</formula>
    </cfRule>
  </conditionalFormatting>
  <conditionalFormatting sqref="AB18:AB22">
    <cfRule type="expression" dxfId="25" priority="28">
      <formula>AB18&lt;&gt;"0"</formula>
    </cfRule>
  </conditionalFormatting>
  <conditionalFormatting sqref="AJ18:AL22">
    <cfRule type="expression" dxfId="24" priority="25">
      <formula>AND(CODE(AJ18)&gt;=65,CODE(AJ18)&lt;=122)</formula>
    </cfRule>
  </conditionalFormatting>
  <conditionalFormatting sqref="AG24:AG28">
    <cfRule type="expression" dxfId="23" priority="24">
      <formula>AG24&lt;&gt;" "</formula>
    </cfRule>
  </conditionalFormatting>
  <conditionalFormatting sqref="AH24:AH28">
    <cfRule type="expression" dxfId="22" priority="23">
      <formula>AH24&lt;&gt;"-"</formula>
    </cfRule>
  </conditionalFormatting>
  <conditionalFormatting sqref="AC24:AC28">
    <cfRule type="expression" dxfId="21" priority="22">
      <formula>AC24&lt;&gt;"-"</formula>
    </cfRule>
  </conditionalFormatting>
  <conditionalFormatting sqref="AM24:AM28">
    <cfRule type="expression" dxfId="20" priority="21">
      <formula>AM24&lt;&gt;"-"</formula>
    </cfRule>
  </conditionalFormatting>
  <conditionalFormatting sqref="AN24:AN28">
    <cfRule type="expression" dxfId="19" priority="20">
      <formula>AN24&lt;&gt;"M"</formula>
    </cfRule>
  </conditionalFormatting>
  <conditionalFormatting sqref="AO24:AO28">
    <cfRule type="expression" dxfId="18" priority="19">
      <formula>AO24&lt;&gt;"6"</formula>
    </cfRule>
  </conditionalFormatting>
  <conditionalFormatting sqref="X24:X28">
    <cfRule type="expression" dxfId="17" priority="18">
      <formula>X24&lt;&gt;"3"</formula>
    </cfRule>
  </conditionalFormatting>
  <conditionalFormatting sqref="Y24:Y28">
    <cfRule type="expression" dxfId="16" priority="17">
      <formula>Y24&lt;&gt;"7"</formula>
    </cfRule>
  </conditionalFormatting>
  <conditionalFormatting sqref="Z24:Z28">
    <cfRule type="expression" dxfId="15" priority="16">
      <formula>Z24&lt;&gt;"8"</formula>
    </cfRule>
  </conditionalFormatting>
  <conditionalFormatting sqref="AA24:AA28">
    <cfRule type="expression" dxfId="14" priority="15">
      <formula>AA24&lt;&gt;"2"</formula>
    </cfRule>
  </conditionalFormatting>
  <conditionalFormatting sqref="AB24:AB28">
    <cfRule type="expression" dxfId="13" priority="14">
      <formula>AB24&lt;&gt;"0"</formula>
    </cfRule>
  </conditionalFormatting>
  <conditionalFormatting sqref="AJ24:AL28">
    <cfRule type="expression" dxfId="12" priority="13">
      <formula>AND(CODE(AJ24)&gt;=65,CODE(AJ24)&lt;=122)</formula>
    </cfRule>
  </conditionalFormatting>
  <conditionalFormatting sqref="AG30:AG34">
    <cfRule type="expression" dxfId="11" priority="12">
      <formula>AG30&lt;&gt;" "</formula>
    </cfRule>
  </conditionalFormatting>
  <conditionalFormatting sqref="AH30:AH34">
    <cfRule type="expression" dxfId="10" priority="11">
      <formula>AH30&lt;&gt;"-"</formula>
    </cfRule>
  </conditionalFormatting>
  <conditionalFormatting sqref="AC30:AC34">
    <cfRule type="expression" dxfId="9" priority="10">
      <formula>AC30&lt;&gt;"-"</formula>
    </cfRule>
  </conditionalFormatting>
  <conditionalFormatting sqref="AM30:AM34">
    <cfRule type="expression" dxfId="8" priority="9">
      <formula>AM30&lt;&gt;"-"</formula>
    </cfRule>
  </conditionalFormatting>
  <conditionalFormatting sqref="AN30:AN34">
    <cfRule type="expression" dxfId="7" priority="8">
      <formula>AN30&lt;&gt;"M"</formula>
    </cfRule>
  </conditionalFormatting>
  <conditionalFormatting sqref="AO30:AO34">
    <cfRule type="expression" dxfId="6" priority="7">
      <formula>AO30&lt;&gt;"6"</formula>
    </cfRule>
  </conditionalFormatting>
  <conditionalFormatting sqref="X30:X34">
    <cfRule type="expression" dxfId="5" priority="6">
      <formula>X30&lt;&gt;"3"</formula>
    </cfRule>
  </conditionalFormatting>
  <conditionalFormatting sqref="Y30:Y34">
    <cfRule type="expression" dxfId="4" priority="5">
      <formula>Y30&lt;&gt;"7"</formula>
    </cfRule>
  </conditionalFormatting>
  <conditionalFormatting sqref="Z30:Z34">
    <cfRule type="expression" dxfId="3" priority="4">
      <formula>Z30&lt;&gt;"8"</formula>
    </cfRule>
  </conditionalFormatting>
  <conditionalFormatting sqref="AA30:AA34">
    <cfRule type="expression" dxfId="2" priority="3">
      <formula>AA30&lt;&gt;"2"</formula>
    </cfRule>
  </conditionalFormatting>
  <conditionalFormatting sqref="AB30:AB34">
    <cfRule type="expression" dxfId="1" priority="2">
      <formula>AB30&lt;&gt;"0"</formula>
    </cfRule>
  </conditionalFormatting>
  <conditionalFormatting sqref="AJ30:AL34">
    <cfRule type="expression" dxfId="0" priority="1">
      <formula>AND(CODE(AJ30)&gt;=65,CODE(AJ30)&lt;=122)</formula>
    </cfRule>
  </conditionalFormatting>
  <hyperlinks>
    <hyperlink ref="B12" r:id="rId1" xr:uid="{9876D0A4-8F15-4C5D-A9AC-8C4CA64DF5BC}"/>
  </hyperlinks>
  <pageMargins left="0.7" right="0.7" top="0.75" bottom="0.75" header="0.3" footer="0.3"/>
  <pageSetup paperSize="9" orientation="portrait" r:id="rId2"/>
  <customProperties>
    <customPr name="_pios_id" r:id="rId3"/>
  </customPropertie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6"/>
  <sheetViews>
    <sheetView zoomScaleNormal="100" workbookViewId="0">
      <pane xSplit="15" ySplit="14" topLeftCell="P15" activePane="bottomRight" state="frozen"/>
      <selection pane="topRight" activeCell="P1" sqref="P1"/>
      <selection pane="bottomLeft" activeCell="A15" sqref="A15"/>
      <selection pane="bottomRight" activeCell="Q17" sqref="Q17"/>
    </sheetView>
  </sheetViews>
  <sheetFormatPr defaultColWidth="8.9140625" defaultRowHeight="14.25" customHeight="1"/>
  <cols>
    <col min="1" max="1" width="4.4140625" style="1" customWidth="1"/>
    <col min="2" max="2" width="7.4140625" style="1" customWidth="1"/>
    <col min="3" max="3" width="2.4140625" style="1" customWidth="1"/>
    <col min="4" max="4" width="5.9140625" style="1" customWidth="1"/>
    <col min="5" max="5" width="2.4140625" style="1" customWidth="1"/>
    <col min="6" max="6" width="5.58203125" style="1" customWidth="1"/>
    <col min="7" max="7" width="2.4140625" style="1" customWidth="1"/>
    <col min="8" max="8" width="6.58203125" style="1" customWidth="1"/>
    <col min="9" max="9" width="6.9140625" style="1" customWidth="1"/>
    <col min="10" max="10" width="2.4140625" style="1" customWidth="1"/>
    <col min="11" max="11" width="5.1640625" style="1" customWidth="1"/>
    <col min="12" max="12" width="2.4140625" style="1" customWidth="1"/>
    <col min="13" max="13" width="6.08203125" style="1" customWidth="1"/>
    <col min="14" max="14" width="2.4140625" style="1" customWidth="1"/>
    <col min="15" max="15" width="4.08203125" style="1" customWidth="1"/>
    <col min="16" max="17" width="19.4140625" style="1" customWidth="1"/>
    <col min="18" max="18" width="29.08203125" style="1" customWidth="1"/>
    <col min="19" max="19" width="23.58203125" style="1" customWidth="1"/>
    <col min="20" max="20" width="27.9140625" style="1" customWidth="1"/>
    <col min="21" max="16384" width="8.9140625" style="1"/>
  </cols>
  <sheetData>
    <row r="1" spans="2:24" ht="14.25" customHeight="1" thickBot="1">
      <c r="Q1" s="53" t="s">
        <v>79</v>
      </c>
      <c r="R1" s="1" t="str">
        <f ca="1">'Changed history'!G2</f>
        <v>r01</v>
      </c>
      <c r="V1" s="1" t="s">
        <v>81</v>
      </c>
      <c r="W1" s="1" t="s">
        <v>82</v>
      </c>
      <c r="X1" s="1" t="s">
        <v>83</v>
      </c>
    </row>
    <row r="2" spans="2:24" ht="14.25" customHeight="1">
      <c r="B2" s="145" t="s">
        <v>84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7"/>
      <c r="S2" s="2" t="s">
        <v>5</v>
      </c>
      <c r="T2" s="3"/>
      <c r="V2" s="54" t="str">
        <f ca="1">'Changed history'!A22</f>
        <v>V01</v>
      </c>
      <c r="W2" s="54"/>
      <c r="X2" s="54"/>
    </row>
    <row r="3" spans="2:24" ht="14.25" customHeight="1" thickBot="1"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50"/>
      <c r="S3" s="4" t="s">
        <v>80</v>
      </c>
      <c r="T3" s="3"/>
    </row>
    <row r="4" spans="2:24" ht="14.25" customHeight="1">
      <c r="T4" s="3"/>
    </row>
    <row r="5" spans="2:24" ht="14.25" customHeight="1">
      <c r="B5" s="151" t="s">
        <v>61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T5" s="3"/>
    </row>
    <row r="6" spans="2:24" ht="14.25" customHeight="1"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</row>
    <row r="7" spans="2:24" ht="14.25" customHeight="1"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</row>
    <row r="8" spans="2:24" ht="14.25" customHeight="1"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</row>
    <row r="10" spans="2:24" ht="14.5">
      <c r="B10" s="1" t="s">
        <v>0</v>
      </c>
    </row>
    <row r="11" spans="2:24" ht="14.5">
      <c r="B11" s="5" t="s">
        <v>18</v>
      </c>
    </row>
    <row r="13" spans="2:24" ht="14.25" customHeight="1" thickBot="1"/>
    <row r="14" spans="2:24" s="8" customFormat="1" ht="43.5">
      <c r="B14" s="152" t="s">
        <v>11</v>
      </c>
      <c r="C14" s="153"/>
      <c r="D14" s="153"/>
      <c r="E14" s="153"/>
      <c r="F14" s="153"/>
      <c r="G14" s="153"/>
      <c r="H14" s="153"/>
      <c r="I14" s="153" t="s">
        <v>12</v>
      </c>
      <c r="J14" s="153"/>
      <c r="K14" s="153"/>
      <c r="L14" s="153"/>
      <c r="M14" s="153"/>
      <c r="N14" s="153"/>
      <c r="O14" s="153"/>
      <c r="P14" s="6" t="s">
        <v>2</v>
      </c>
      <c r="Q14" s="6" t="s">
        <v>3</v>
      </c>
      <c r="R14" s="6" t="s">
        <v>4</v>
      </c>
      <c r="S14" s="6" t="s">
        <v>62</v>
      </c>
      <c r="T14" s="7" t="s">
        <v>1</v>
      </c>
    </row>
    <row r="15" spans="2:24" ht="30" customHeight="1">
      <c r="B15" s="154">
        <v>37820</v>
      </c>
      <c r="C15" s="140" t="s">
        <v>6</v>
      </c>
      <c r="D15" s="140" t="s">
        <v>14</v>
      </c>
      <c r="E15" s="140" t="s">
        <v>6</v>
      </c>
      <c r="F15" s="141" t="s">
        <v>15</v>
      </c>
      <c r="G15" s="140" t="s">
        <v>6</v>
      </c>
      <c r="H15" s="140" t="s">
        <v>8</v>
      </c>
      <c r="I15" s="9">
        <v>37820</v>
      </c>
      <c r="J15" s="9" t="s">
        <v>6</v>
      </c>
      <c r="K15" s="9" t="s">
        <v>13</v>
      </c>
      <c r="L15" s="9" t="s">
        <v>6</v>
      </c>
      <c r="M15" s="10" t="s">
        <v>19</v>
      </c>
      <c r="N15" s="9" t="s">
        <v>6</v>
      </c>
      <c r="O15" s="9" t="s">
        <v>9</v>
      </c>
      <c r="P15" s="11" t="s">
        <v>48</v>
      </c>
      <c r="Q15" s="12"/>
      <c r="R15" s="13" t="s">
        <v>49</v>
      </c>
      <c r="S15" s="14" t="s">
        <v>33</v>
      </c>
      <c r="T15" s="15" t="s">
        <v>63</v>
      </c>
    </row>
    <row r="16" spans="2:24" ht="30" customHeight="1">
      <c r="B16" s="143"/>
      <c r="C16" s="135"/>
      <c r="D16" s="135"/>
      <c r="E16" s="135"/>
      <c r="F16" s="138"/>
      <c r="G16" s="135"/>
      <c r="H16" s="135"/>
      <c r="I16" s="9">
        <v>37820</v>
      </c>
      <c r="J16" s="9" t="s">
        <v>6</v>
      </c>
      <c r="K16" s="9" t="s">
        <v>13</v>
      </c>
      <c r="L16" s="9" t="s">
        <v>6</v>
      </c>
      <c r="M16" s="10" t="s">
        <v>20</v>
      </c>
      <c r="N16" s="9" t="s">
        <v>6</v>
      </c>
      <c r="O16" s="9" t="s">
        <v>10</v>
      </c>
      <c r="P16" s="12"/>
      <c r="Q16" s="12"/>
      <c r="R16" s="13" t="s">
        <v>50</v>
      </c>
      <c r="S16" s="14" t="s">
        <v>34</v>
      </c>
      <c r="T16" s="15" t="s">
        <v>64</v>
      </c>
    </row>
    <row r="17" spans="2:20" ht="30" customHeight="1">
      <c r="B17" s="143"/>
      <c r="C17" s="135"/>
      <c r="D17" s="135"/>
      <c r="E17" s="135"/>
      <c r="F17" s="138"/>
      <c r="G17" s="135"/>
      <c r="H17" s="135"/>
      <c r="I17" s="9">
        <v>37820</v>
      </c>
      <c r="J17" s="9"/>
      <c r="K17" s="9" t="s">
        <v>13</v>
      </c>
      <c r="L17" s="9"/>
      <c r="M17" s="10" t="s">
        <v>21</v>
      </c>
      <c r="N17" s="9"/>
      <c r="O17" s="9" t="s">
        <v>10</v>
      </c>
      <c r="P17" s="12"/>
      <c r="Q17" s="12"/>
      <c r="R17" s="13" t="s">
        <v>51</v>
      </c>
      <c r="S17" s="14" t="s">
        <v>35</v>
      </c>
      <c r="T17" s="15" t="s">
        <v>65</v>
      </c>
    </row>
    <row r="18" spans="2:20" ht="30" customHeight="1" thickBot="1">
      <c r="B18" s="144"/>
      <c r="C18" s="136"/>
      <c r="D18" s="136"/>
      <c r="E18" s="136"/>
      <c r="F18" s="139"/>
      <c r="G18" s="136"/>
      <c r="H18" s="136"/>
      <c r="I18" s="16">
        <v>37820</v>
      </c>
      <c r="J18" s="16" t="s">
        <v>6</v>
      </c>
      <c r="K18" s="16" t="s">
        <v>13</v>
      </c>
      <c r="L18" s="16" t="s">
        <v>6</v>
      </c>
      <c r="M18" s="17" t="s">
        <v>22</v>
      </c>
      <c r="N18" s="16" t="s">
        <v>6</v>
      </c>
      <c r="O18" s="16" t="s">
        <v>10</v>
      </c>
      <c r="P18" s="18"/>
      <c r="Q18" s="18"/>
      <c r="R18" s="19" t="s">
        <v>52</v>
      </c>
      <c r="S18" s="20" t="s">
        <v>36</v>
      </c>
      <c r="T18" s="21" t="s">
        <v>64</v>
      </c>
    </row>
    <row r="19" spans="2:20" ht="30" customHeight="1">
      <c r="B19" s="142">
        <v>37820</v>
      </c>
      <c r="C19" s="134" t="s">
        <v>6</v>
      </c>
      <c r="D19" s="134" t="s">
        <v>14</v>
      </c>
      <c r="E19" s="134" t="s">
        <v>6</v>
      </c>
      <c r="F19" s="137" t="s">
        <v>16</v>
      </c>
      <c r="G19" s="134" t="s">
        <v>6</v>
      </c>
      <c r="H19" s="134" t="s">
        <v>7</v>
      </c>
      <c r="I19" s="22">
        <v>37820</v>
      </c>
      <c r="J19" s="22" t="s">
        <v>6</v>
      </c>
      <c r="K19" s="22" t="s">
        <v>13</v>
      </c>
      <c r="L19" s="22" t="s">
        <v>6</v>
      </c>
      <c r="M19" s="23" t="s">
        <v>23</v>
      </c>
      <c r="N19" s="22" t="s">
        <v>6</v>
      </c>
      <c r="O19" s="22" t="s">
        <v>10</v>
      </c>
      <c r="P19" s="24"/>
      <c r="Q19" s="24"/>
      <c r="R19" s="25" t="s">
        <v>53</v>
      </c>
      <c r="S19" s="26" t="s">
        <v>37</v>
      </c>
      <c r="T19" s="27" t="s">
        <v>64</v>
      </c>
    </row>
    <row r="20" spans="2:20" ht="30" customHeight="1">
      <c r="B20" s="143"/>
      <c r="C20" s="135"/>
      <c r="D20" s="135"/>
      <c r="E20" s="135"/>
      <c r="F20" s="138"/>
      <c r="G20" s="135"/>
      <c r="H20" s="135"/>
      <c r="I20" s="9">
        <v>37820</v>
      </c>
      <c r="J20" s="9" t="s">
        <v>6</v>
      </c>
      <c r="K20" s="9" t="s">
        <v>13</v>
      </c>
      <c r="L20" s="9" t="s">
        <v>6</v>
      </c>
      <c r="M20" s="10" t="s">
        <v>24</v>
      </c>
      <c r="N20" s="9" t="s">
        <v>6</v>
      </c>
      <c r="O20" s="9" t="s">
        <v>10</v>
      </c>
      <c r="P20" s="12"/>
      <c r="Q20" s="12"/>
      <c r="R20" s="13" t="s">
        <v>141</v>
      </c>
      <c r="S20" s="14" t="s">
        <v>38</v>
      </c>
      <c r="T20" s="15" t="s">
        <v>64</v>
      </c>
    </row>
    <row r="21" spans="2:20" ht="30" customHeight="1">
      <c r="B21" s="143"/>
      <c r="C21" s="135"/>
      <c r="D21" s="135"/>
      <c r="E21" s="135"/>
      <c r="F21" s="138"/>
      <c r="G21" s="135"/>
      <c r="H21" s="135"/>
      <c r="I21" s="9">
        <v>37820</v>
      </c>
      <c r="J21" s="9" t="s">
        <v>6</v>
      </c>
      <c r="K21" s="9" t="s">
        <v>13</v>
      </c>
      <c r="L21" s="9" t="s">
        <v>6</v>
      </c>
      <c r="M21" s="10" t="s">
        <v>25</v>
      </c>
      <c r="N21" s="9" t="s">
        <v>6</v>
      </c>
      <c r="O21" s="9" t="s">
        <v>10</v>
      </c>
      <c r="P21" s="12"/>
      <c r="Q21" s="12"/>
      <c r="R21" s="13" t="s">
        <v>54</v>
      </c>
      <c r="S21" s="14" t="s">
        <v>39</v>
      </c>
      <c r="T21" s="15" t="s">
        <v>64</v>
      </c>
    </row>
    <row r="22" spans="2:20" ht="30" customHeight="1">
      <c r="B22" s="143"/>
      <c r="C22" s="135"/>
      <c r="D22" s="135"/>
      <c r="E22" s="135"/>
      <c r="F22" s="138"/>
      <c r="G22" s="135"/>
      <c r="H22" s="135"/>
      <c r="I22" s="9">
        <v>37820</v>
      </c>
      <c r="J22" s="9"/>
      <c r="K22" s="9" t="s">
        <v>13</v>
      </c>
      <c r="L22" s="9"/>
      <c r="M22" s="10" t="s">
        <v>26</v>
      </c>
      <c r="N22" s="9"/>
      <c r="O22" s="9" t="s">
        <v>10</v>
      </c>
      <c r="P22" s="12"/>
      <c r="Q22" s="12"/>
      <c r="R22" s="13" t="s">
        <v>55</v>
      </c>
      <c r="S22" s="14" t="s">
        <v>40</v>
      </c>
      <c r="T22" s="15" t="s">
        <v>64</v>
      </c>
    </row>
    <row r="23" spans="2:20" ht="30" customHeight="1" thickBot="1">
      <c r="B23" s="144"/>
      <c r="C23" s="136"/>
      <c r="D23" s="136"/>
      <c r="E23" s="136"/>
      <c r="F23" s="139"/>
      <c r="G23" s="136"/>
      <c r="H23" s="136"/>
      <c r="I23" s="28">
        <v>37820</v>
      </c>
      <c r="J23" s="28"/>
      <c r="K23" s="28" t="s">
        <v>13</v>
      </c>
      <c r="L23" s="28"/>
      <c r="M23" s="29" t="s">
        <v>27</v>
      </c>
      <c r="N23" s="28"/>
      <c r="O23" s="28" t="s">
        <v>10</v>
      </c>
      <c r="P23" s="30"/>
      <c r="Q23" s="30"/>
      <c r="R23" s="31" t="s">
        <v>56</v>
      </c>
      <c r="S23" s="32" t="s">
        <v>41</v>
      </c>
      <c r="T23" s="33" t="s">
        <v>64</v>
      </c>
    </row>
    <row r="24" spans="2:20" ht="30" customHeight="1">
      <c r="B24" s="142">
        <v>37820</v>
      </c>
      <c r="C24" s="134" t="s">
        <v>6</v>
      </c>
      <c r="D24" s="134" t="s">
        <v>14</v>
      </c>
      <c r="E24" s="134" t="s">
        <v>6</v>
      </c>
      <c r="F24" s="137" t="s">
        <v>17</v>
      </c>
      <c r="G24" s="134" t="s">
        <v>6</v>
      </c>
      <c r="H24" s="134" t="s">
        <v>7</v>
      </c>
      <c r="I24" s="22">
        <v>37820</v>
      </c>
      <c r="J24" s="22"/>
      <c r="K24" s="22" t="s">
        <v>13</v>
      </c>
      <c r="L24" s="22"/>
      <c r="M24" s="23" t="s">
        <v>28</v>
      </c>
      <c r="N24" s="22"/>
      <c r="O24" s="22" t="s">
        <v>10</v>
      </c>
      <c r="P24" s="24"/>
      <c r="Q24" s="24"/>
      <c r="R24" s="25" t="s">
        <v>57</v>
      </c>
      <c r="S24" s="26" t="s">
        <v>42</v>
      </c>
      <c r="T24" s="27" t="s">
        <v>64</v>
      </c>
    </row>
    <row r="25" spans="2:20" ht="30" customHeight="1">
      <c r="B25" s="143"/>
      <c r="C25" s="135"/>
      <c r="D25" s="135"/>
      <c r="E25" s="135"/>
      <c r="F25" s="138"/>
      <c r="G25" s="135"/>
      <c r="H25" s="135"/>
      <c r="I25" s="9">
        <v>37820</v>
      </c>
      <c r="J25" s="9"/>
      <c r="K25" s="9" t="s">
        <v>13</v>
      </c>
      <c r="L25" s="9"/>
      <c r="M25" s="10" t="s">
        <v>29</v>
      </c>
      <c r="N25" s="9"/>
      <c r="O25" s="9" t="s">
        <v>10</v>
      </c>
      <c r="P25" s="12"/>
      <c r="Q25" s="12"/>
      <c r="R25" s="13" t="s">
        <v>58</v>
      </c>
      <c r="S25" s="14" t="s">
        <v>43</v>
      </c>
      <c r="T25" s="15" t="s">
        <v>64</v>
      </c>
    </row>
    <row r="26" spans="2:20" ht="30" customHeight="1">
      <c r="B26" s="143"/>
      <c r="C26" s="135"/>
      <c r="D26" s="135"/>
      <c r="E26" s="135"/>
      <c r="F26" s="138"/>
      <c r="G26" s="135"/>
      <c r="H26" s="135"/>
      <c r="I26" s="9">
        <v>37820</v>
      </c>
      <c r="J26" s="9" t="s">
        <v>6</v>
      </c>
      <c r="K26" s="9" t="s">
        <v>13</v>
      </c>
      <c r="L26" s="9" t="s">
        <v>6</v>
      </c>
      <c r="M26" s="10" t="s">
        <v>30</v>
      </c>
      <c r="N26" s="9" t="s">
        <v>6</v>
      </c>
      <c r="O26" s="9" t="s">
        <v>10</v>
      </c>
      <c r="P26" s="12"/>
      <c r="Q26" s="12"/>
      <c r="R26" s="13" t="s">
        <v>142</v>
      </c>
      <c r="S26" s="14" t="s">
        <v>44</v>
      </c>
      <c r="T26" s="15" t="s">
        <v>64</v>
      </c>
    </row>
    <row r="27" spans="2:20" ht="30" customHeight="1">
      <c r="B27" s="143"/>
      <c r="C27" s="135"/>
      <c r="D27" s="135"/>
      <c r="E27" s="135"/>
      <c r="F27" s="138"/>
      <c r="G27" s="135"/>
      <c r="H27" s="135"/>
      <c r="I27" s="9">
        <v>37820</v>
      </c>
      <c r="J27" s="9" t="s">
        <v>6</v>
      </c>
      <c r="K27" s="9" t="s">
        <v>13</v>
      </c>
      <c r="L27" s="9" t="s">
        <v>6</v>
      </c>
      <c r="M27" s="10" t="s">
        <v>31</v>
      </c>
      <c r="N27" s="9" t="s">
        <v>6</v>
      </c>
      <c r="O27" s="9" t="s">
        <v>10</v>
      </c>
      <c r="P27" s="12"/>
      <c r="Q27" s="12"/>
      <c r="R27" s="13" t="s">
        <v>59</v>
      </c>
      <c r="S27" s="14" t="s">
        <v>45</v>
      </c>
      <c r="T27" s="15" t="s">
        <v>64</v>
      </c>
    </row>
    <row r="28" spans="2:20" ht="30" customHeight="1" thickBot="1">
      <c r="B28" s="144"/>
      <c r="C28" s="136"/>
      <c r="D28" s="136"/>
      <c r="E28" s="136"/>
      <c r="F28" s="139"/>
      <c r="G28" s="136"/>
      <c r="H28" s="136"/>
      <c r="I28" s="28">
        <v>37820</v>
      </c>
      <c r="J28" s="28" t="s">
        <v>6</v>
      </c>
      <c r="K28" s="28" t="s">
        <v>13</v>
      </c>
      <c r="L28" s="28" t="s">
        <v>6</v>
      </c>
      <c r="M28" s="29" t="s">
        <v>32</v>
      </c>
      <c r="N28" s="28" t="s">
        <v>6</v>
      </c>
      <c r="O28" s="28" t="s">
        <v>10</v>
      </c>
      <c r="P28" s="30"/>
      <c r="Q28" s="30"/>
      <c r="R28" s="31" t="s">
        <v>60</v>
      </c>
      <c r="S28" s="32" t="s">
        <v>46</v>
      </c>
      <c r="T28" s="33" t="s">
        <v>64</v>
      </c>
    </row>
    <row r="29" spans="2:20" ht="14.25" customHeight="1">
      <c r="S29" s="1" t="s">
        <v>47</v>
      </c>
    </row>
    <row r="36" s="1" customFormat="1" ht="12" customHeight="1"/>
  </sheetData>
  <sheetProtection sheet="1" objects="1" scenarios="1"/>
  <mergeCells count="25">
    <mergeCell ref="B24:B28"/>
    <mergeCell ref="C24:C28"/>
    <mergeCell ref="B2:P3"/>
    <mergeCell ref="B5:Q8"/>
    <mergeCell ref="B14:H14"/>
    <mergeCell ref="I14:O14"/>
    <mergeCell ref="G15:G18"/>
    <mergeCell ref="H15:H18"/>
    <mergeCell ref="B19:B23"/>
    <mergeCell ref="C19:C23"/>
    <mergeCell ref="D19:D23"/>
    <mergeCell ref="E19:E23"/>
    <mergeCell ref="F19:F23"/>
    <mergeCell ref="G19:G23"/>
    <mergeCell ref="H19:H23"/>
    <mergeCell ref="B15:B18"/>
    <mergeCell ref="G24:G28"/>
    <mergeCell ref="H24:H28"/>
    <mergeCell ref="F24:F28"/>
    <mergeCell ref="C15:C18"/>
    <mergeCell ref="D15:D18"/>
    <mergeCell ref="E15:E18"/>
    <mergeCell ref="F15:F18"/>
    <mergeCell ref="D24:D28"/>
    <mergeCell ref="E24:E28"/>
  </mergeCells>
  <phoneticPr fontId="3"/>
  <hyperlinks>
    <hyperlink ref="B11" r:id="rId1" xr:uid="{14648952-E63E-4B5C-A933-85BBF165E3DC}"/>
  </hyperlinks>
  <pageMargins left="0.7" right="0.7" top="0.75" bottom="0.75" header="0.3" footer="0.3"/>
  <pageSetup paperSize="9" orientation="portrait" r:id="rId2"/>
  <customProperties>
    <customPr name="_pios_id" r:id="rId3"/>
  </customProperties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LMBoschDocument" ma:contentTypeID="0x01010093D7B59D7D35844FBFBD16AF1106F1D601007F5C3887DF20394195CF089FFBCECC4C" ma:contentTypeVersion="37" ma:contentTypeDescription="Bosch Document Content Type for ILM" ma:contentTypeScope="" ma:versionID="96165608333a6b1b871e422a32ed20a9">
  <xsd:schema xmlns:xsd="http://www.w3.org/2001/XMLSchema" xmlns:xs="http://www.w3.org/2001/XMLSchema" xmlns:p="http://schemas.microsoft.com/office/2006/metadata/properties" xmlns:ns1="http://schemas.microsoft.com/sharepoint/v3" xmlns:ns2="407b8de0-4b13-43ab-8c44-b4b11823492c" xmlns:ns3="http://schemas.microsoft.com/sharepoint/v4" xmlns:ns4="bca0bc44-19d1-4824-98a4-321de56310bf" targetNamespace="http://schemas.microsoft.com/office/2006/metadata/properties" ma:root="true" ma:fieldsID="38a9cef40d9c80ed625ede1b2f825f09" ns1:_="" ns2:_="" ns3:_="" ns4:_="">
    <xsd:import namespace="http://schemas.microsoft.com/sharepoint/v3"/>
    <xsd:import namespace="407b8de0-4b13-43ab-8c44-b4b11823492c"/>
    <xsd:import namespace="http://schemas.microsoft.com/sharepoint/v4"/>
    <xsd:import namespace="bca0bc44-19d1-4824-98a4-321de56310b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l0716c4b6d154fa49dc22f7977bc3d68" minOccurs="0"/>
                <xsd:element ref="ns2:TaxCatchAll" minOccurs="0"/>
                <xsd:element ref="ns2:TaxCatchAllLabel" minOccurs="0"/>
                <xsd:element ref="ns2:CSC"/>
                <xsd:element ref="ns2:ASC"/>
                <xsd:element ref="ns2:ISC"/>
                <xsd:element ref="ns2:ArchivingPeriod"/>
                <xsd:element ref="ns2:Safeguarding"/>
                <xsd:element ref="ns2:Historicalrelevance"/>
                <xsd:element ref="ns2:IlmBasedOn" minOccurs="0"/>
                <xsd:element ref="ns2:LockedStatus" minOccurs="0"/>
                <xsd:element ref="ns2:LockedBy" minOccurs="0"/>
                <xsd:element ref="ns2:ILMItemType" minOccurs="0"/>
                <xsd:element ref="ns2:ILMCreationRevision" minOccurs="0"/>
                <xsd:element ref="ns2:Revisions" minOccurs="0"/>
                <xsd:element ref="ns1:RB_DMS_KM_GUID" minOccurs="0"/>
                <xsd:element ref="ns1:RB_DMS_ORIG_NAME" minOccurs="0"/>
                <xsd:element ref="ns1:RB_DMS_ORIG_RID" minOccurs="0"/>
                <xsd:element ref="ns1:RB_DMS_MIG_REMARKS" minOccurs="0"/>
                <xsd:element ref="ns1:RB_DMS_SAP_METADATA" minOccurs="0"/>
                <xsd:element ref="ns3:IconOverlay" minOccurs="0"/>
                <xsd:element ref="ns1:_vti_ItemDeclaredRecord" minOccurs="0"/>
                <xsd:element ref="ns1:_vti_ItemHoldRecordStatus" minOccurs="0"/>
                <xsd:element ref="ns4:OriginalSubject" minOccurs="0"/>
                <xsd:element ref="ns4:From1" minOccurs="0"/>
                <xsd:element ref="ns4:Cc" minOccurs="0"/>
                <xsd:element ref="ns4:Bcc" minOccurs="0"/>
                <xsd:element ref="ns4:Conversation-Topic" minOccurs="0"/>
                <xsd:element ref="ns4:Date1" minOccurs="0"/>
                <xsd:element ref="ns4:Reply-To" minOccurs="0"/>
                <xsd:element ref="ns4:To" minOccurs="0"/>
                <xsd:element ref="ns4:Received" minOccurs="0"/>
                <xsd:element ref="ns4:Attachment" minOccurs="0"/>
                <xsd:element ref="ns4:Sensitivity" minOccurs="0"/>
                <xsd:element ref="ns4:Importance" minOccurs="0"/>
                <xsd:element ref="ns4:In-Reply-To" minOccurs="0"/>
                <xsd:element ref="ns4:References" minOccurs="0"/>
                <xsd:element ref="ns4:Conversation-Index" minOccurs="0"/>
                <xsd:element ref="ns4:MailPreviewData" minOccurs="0"/>
                <xsd:element ref="ns4:MessageClass" minOccurs="0"/>
                <xsd:element ref="ns4:Message-ID" minOccurs="0"/>
                <xsd:element ref="ns1:RB_DMS_MIG_HISTORY_FILE_GU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B_DMS_KM_GUID" ma:index="27" nillable="true" ma:displayName="Old GUID" ma:internalName="RB_DMS_KM_GUID" ma:readOnly="false">
      <xsd:simpleType>
        <xsd:restriction base="dms:Text"/>
      </xsd:simpleType>
    </xsd:element>
    <xsd:element name="RB_DMS_ORIG_NAME" ma:index="28" nillable="true" ma:displayName="Original Name" ma:internalName="RB_DMS_ORIG_NAME" ma:readOnly="false">
      <xsd:simpleType>
        <xsd:restriction base="dms:Note"/>
      </xsd:simpleType>
    </xsd:element>
    <xsd:element name="RB_DMS_ORIG_RID" ma:index="29" nillable="true" ma:displayName="Original RID" ma:internalName="RB_DMS_ORIG_RID" ma:readOnly="false">
      <xsd:simpleType>
        <xsd:restriction base="dms:Note"/>
      </xsd:simpleType>
    </xsd:element>
    <xsd:element name="RB_DMS_MIG_REMARKS" ma:index="30" nillable="true" ma:displayName="Migration Remarks" ma:internalName="RB_DMS_MIG_REMARKS" ma:readOnly="false">
      <xsd:simpleType>
        <xsd:restriction base="dms:Note"/>
      </xsd:simpleType>
    </xsd:element>
    <xsd:element name="RB_DMS_SAP_METADATA" ma:index="31" nillable="true" ma:displayName="ILM Metadata" ma:internalName="RB_DMS_SAP_METADATA" ma:readOnly="false">
      <xsd:simpleType>
        <xsd:restriction base="dms:Note"/>
      </xsd:simpleType>
    </xsd:element>
    <xsd:element name="_vti_ItemDeclaredRecord" ma:index="33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4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RB_DMS_MIG_HISTORY_FILE_GUID" ma:index="53" nillable="true" ma:displayName="History File GUID" ma:internalName="RB_DMS_MIG_HISTORY_FILE_GU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b8de0-4b13-43ab-8c44-b4b11823492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l0716c4b6d154fa49dc22f7977bc3d68" ma:index="11" nillable="true" ma:taxonomy="true" ma:internalName="l0716c4b6d154fa49dc22f7977bc3d68" ma:taxonomyFieldName="DMSKeywords" ma:displayName="Keywords" ma:fieldId="{50716c4b-6d15-4fa4-9dc2-2f7977bc3d68}" ma:sspId="b81b984e-7d9a-4f77-a40b-67f8485df2c3" ma:termSetId="c4708036-6b5a-47af-b348-522b910ec0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61b869d7-77ae-4893-82e1-27b7a8db411b}" ma:internalName="TaxCatchAll" ma:showField="CatchAllData" ma:web="407b8de0-4b13-43ab-8c44-b4b118234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61b869d7-77ae-4893-82e1-27b7a8db411b}" ma:internalName="TaxCatchAllLabel" ma:readOnly="true" ma:showField="CatchAllDataLabel" ma:web="407b8de0-4b13-43ab-8c44-b4b118234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SC" ma:index="15" ma:displayName="C-SC" ma:default="1" ma:description="Security Class for Confidentiality." ma:format="Dropdown" ma:internalName="C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SC" ma:index="16" ma:displayName="A-SC" ma:default="1" ma:description="Security Class for Availability" ma:format="Dropdown" ma:internalName="A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ISC" ma:index="17" ma:displayName="I-SC" ma:default="1" ma:description="Security Class for Integrity" ma:format="Dropdown" ma:internalName="I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rchivingPeriod" ma:index="18" ma:displayName="Archiving Period (in years)" ma:default="35" ma:description="File will be deleted from the archive after end of the archiving" ma:format="Dropdown" ma:internalName="ArchivingPeriod" ma:readOnly="false">
      <xsd:simpleType>
        <xsd:union memberTypes="dms:Text">
          <xsd:simpleType>
            <xsd:restriction base="dms:Choice">
              <xsd:enumeration value="1"/>
              <xsd:enumeration value="3"/>
              <xsd:enumeration value="6"/>
              <xsd:enumeration value="10"/>
              <xsd:enumeration value="15"/>
              <xsd:enumeration value="35"/>
              <xsd:enumeration value="Delete when archiving"/>
              <xsd:enumeration value="infinite"/>
            </xsd:restriction>
          </xsd:simpleType>
        </xsd:union>
      </xsd:simpleType>
    </xsd:element>
    <xsd:element name="Safeguarding" ma:index="19" ma:displayName="Safeguarding" ma:default="No" ma:description="Special safeguarding requirements" ma:format="Dropdown" ma:internalName="Safeguarding" ma:readOnly="false">
      <xsd:simpleType>
        <xsd:restriction base="dms:Choice">
          <xsd:enumeration value="Yes"/>
          <xsd:enumeration value="No"/>
        </xsd:restriction>
      </xsd:simpleType>
    </xsd:element>
    <xsd:element name="Historicalrelevance" ma:index="20" ma:displayName="Historical relevance" ma:default="No" ma:description="Handover to C/CCH" ma:format="Dropdown" ma:internalName="Historicalrelevance" ma:readOnly="false">
      <xsd:simpleType>
        <xsd:restriction base="dms:Choice">
          <xsd:enumeration value="Yes"/>
          <xsd:enumeration value="No"/>
        </xsd:restriction>
      </xsd:simpleType>
    </xsd:element>
    <xsd:element name="IlmBasedOn" ma:index="21" nillable="true" ma:displayName="Based on" ma:internalName="IlmBasedOn" ma:readOnly="true">
      <xsd:simpleType>
        <xsd:restriction base="dms:Text"/>
      </xsd:simpleType>
    </xsd:element>
    <xsd:element name="LockedStatus" ma:index="22" nillable="true" ma:displayName="Locked Status" ma:default="Unlocked" ma:internalName="LockedStatus" ma:readOnly="true">
      <xsd:simpleType>
        <xsd:restriction base="dms:Text"/>
      </xsd:simpleType>
    </xsd:element>
    <xsd:element name="LockedBy" ma:index="23" nillable="true" ma:displayName="Locked By" ma:internalName="Lock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LMItemType" ma:index="24" nillable="true" ma:displayName="ILMItemType" ma:default="ConceptualItem" ma:internalName="ILMItemType" ma:readOnly="true">
      <xsd:simpleType>
        <xsd:restriction base="dms:Text"/>
      </xsd:simpleType>
    </xsd:element>
    <xsd:element name="ILMCreationRevision" ma:index="25" nillable="true" ma:displayName="Creating Revision" ma:internalName="ILMCreationRevision" ma:readOnly="true">
      <xsd:simpleType>
        <xsd:restriction base="dms:Boolean"/>
      </xsd:simpleType>
    </xsd:element>
    <xsd:element name="Revisions" ma:index="26" nillable="true" ma:displayName="Revision set" ma:internalName="Revisions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haredWithUsers" ma:index="5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2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0bc44-19d1-4824-98a4-321de56310bf" elementFormDefault="qualified">
    <xsd:import namespace="http://schemas.microsoft.com/office/2006/documentManagement/types"/>
    <xsd:import namespace="http://schemas.microsoft.com/office/infopath/2007/PartnerControls"/>
    <xsd:element name="OriginalSubject" ma:index="35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From1" ma:index="36" nillable="true" ma:displayName="From" ma:internalName="From1">
      <xsd:simpleType>
        <xsd:restriction base="dms:Text">
          <xsd:maxLength value="255"/>
        </xsd:restriction>
      </xsd:simpleType>
    </xsd:element>
    <xsd:element name="Cc" ma:index="37" nillable="true" ma:displayName="Cc" ma:internalName="Cc">
      <xsd:simpleType>
        <xsd:restriction base="dms:Note">
          <xsd:maxLength value="255"/>
        </xsd:restriction>
      </xsd:simpleType>
    </xsd:element>
    <xsd:element name="Bcc" ma:index="38" nillable="true" ma:displayName="Bcc" ma:internalName="Bcc">
      <xsd:simpleType>
        <xsd:restriction base="dms:Note">
          <xsd:maxLength value="255"/>
        </xsd:restriction>
      </xsd:simpleType>
    </xsd:element>
    <xsd:element name="Conversation-Topic" ma:index="39" nillable="true" ma:displayName="Conversation-Topic" ma:internalName="Conversation_x002d_Topic">
      <xsd:simpleType>
        <xsd:restriction base="dms:Text">
          <xsd:maxLength value="255"/>
        </xsd:restriction>
      </xsd:simpleType>
    </xsd:element>
    <xsd:element name="Date1" ma:index="40" nillable="true" ma:displayName="Date" ma:format="DateOnly" ma:internalName="Date1">
      <xsd:simpleType>
        <xsd:restriction base="dms:DateTime"/>
      </xsd:simpleType>
    </xsd:element>
    <xsd:element name="Reply-To" ma:index="41" nillable="true" ma:displayName="Reply-To" ma:internalName="Reply_x002d_To">
      <xsd:simpleType>
        <xsd:restriction base="dms:Text">
          <xsd:maxLength value="255"/>
        </xsd:restriction>
      </xsd:simpleType>
    </xsd:element>
    <xsd:element name="To" ma:index="42" nillable="true" ma:displayName="To" ma:internalName="To">
      <xsd:simpleType>
        <xsd:restriction base="dms:Note">
          <xsd:maxLength value="255"/>
        </xsd:restriction>
      </xsd:simpleType>
    </xsd:element>
    <xsd:element name="Received" ma:index="43" nillable="true" ma:displayName="Received" ma:internalName="Received">
      <xsd:simpleType>
        <xsd:restriction base="dms:Text">
          <xsd:maxLength value="255"/>
        </xsd:restriction>
      </xsd:simpleType>
    </xsd:element>
    <xsd:element name="Attachment" ma:index="44" nillable="true" ma:displayName="Attachment" ma:default="1" ma:internalName="Attachment">
      <xsd:simpleType>
        <xsd:restriction base="dms:Boolean"/>
      </xsd:simpleType>
    </xsd:element>
    <xsd:element name="Sensitivity" ma:index="45" nillable="true" ma:displayName="Sensitivity" ma:internalName="Sensitivity">
      <xsd:simpleType>
        <xsd:restriction base="dms:Text">
          <xsd:maxLength value="255"/>
        </xsd:restriction>
      </xsd:simpleType>
    </xsd:element>
    <xsd:element name="Importance" ma:index="46" nillable="true" ma:displayName="Importance" ma:internalName="Importance">
      <xsd:simpleType>
        <xsd:restriction base="dms:Text">
          <xsd:maxLength value="255"/>
        </xsd:restriction>
      </xsd:simpleType>
    </xsd:element>
    <xsd:element name="In-Reply-To" ma:index="47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References" ma:index="48" nillable="true" ma:displayName="References" ma:internalName="References">
      <xsd:simpleType>
        <xsd:restriction base="dms:Text">
          <xsd:maxLength value="255"/>
        </xsd:restriction>
      </xsd:simpleType>
    </xsd:element>
    <xsd:element name="Conversation-Index" ma:index="49" nillable="true" ma:displayName="Conversation-Index" ma:internalName="Conversation_x002d_Index" ma:readOnly="false">
      <xsd:simpleType>
        <xsd:restriction base="dms:Text">
          <xsd:maxLength value="255"/>
        </xsd:restriction>
      </xsd:simpleType>
    </xsd:element>
    <xsd:element name="MailPreviewData" ma:index="50" nillable="true" ma:displayName="MailPreviewData" ma:internalName="MailPreviewData" ma:readOnly="false">
      <xsd:simpleType>
        <xsd:restriction base="dms:Note"/>
      </xsd:simpleType>
    </xsd:element>
    <xsd:element name="MessageClass" ma:index="51" nillable="true" ma:displayName="MessageClass" ma:internalName="MessageClass" ma:readOnly="false">
      <xsd:simpleType>
        <xsd:restriction base="dms:Text">
          <xsd:maxLength value="255"/>
        </xsd:restriction>
      </xsd:simpleType>
    </xsd:element>
    <xsd:element name="Message-ID" ma:index="52" nillable="true" ma:displayName="Message-ID" ma:internalName="Message_x002d_ID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SC xmlns="407b8de0-4b13-43ab-8c44-b4b11823492c">2</ASC>
    <RB_DMS_ORIG_NAME xmlns="http://schemas.microsoft.com/sharepoint/v3" xsi:nil="true"/>
    <RB_DMS_SAP_METADATA xmlns="http://schemas.microsoft.com/sharepoint/v3" xsi:nil="true"/>
    <l0716c4b6d154fa49dc22f7977bc3d68 xmlns="407b8de0-4b13-43ab-8c44-b4b11823492c">
      <Terms xmlns="http://schemas.microsoft.com/office/infopath/2007/PartnerControls"/>
    </l0716c4b6d154fa49dc22f7977bc3d68>
    <CSC xmlns="407b8de0-4b13-43ab-8c44-b4b11823492c">2</CSC>
    <TaxCatchAll xmlns="407b8de0-4b13-43ab-8c44-b4b11823492c"/>
    <RB_DMS_KM_GUID xmlns="http://schemas.microsoft.com/sharepoint/v3" xsi:nil="true"/>
    <RB_DMS_ORIG_RID xmlns="http://schemas.microsoft.com/sharepoint/v3" xsi:nil="true"/>
    <ISC xmlns="407b8de0-4b13-43ab-8c44-b4b11823492c">2</ISC>
    <Historicalrelevance xmlns="407b8de0-4b13-43ab-8c44-b4b11823492c">No</Historicalrelevance>
    <RB_DMS_MIG_REMARKS xmlns="http://schemas.microsoft.com/sharepoint/v3" xsi:nil="true"/>
    <ArchivingPeriod xmlns="407b8de0-4b13-43ab-8c44-b4b11823492c">35</ArchivingPeriod>
    <Safeguarding xmlns="407b8de0-4b13-43ab-8c44-b4b11823492c">No</Safeguarding>
    <_dlc_DocId xmlns="407b8de0-4b13-43ab-8c44-b4b11823492c">P13S107525-879942834-124147</_dlc_DocId>
    <_dlc_DocIdUrl xmlns="407b8de0-4b13-43ab-8c44-b4b11823492c">
      <Url>https://sites.inside-share3.bosch.com/sites/107525/_layouts/15/DocIdRedir.aspx?ID=P13S107525-879942834-124147</Url>
      <Description>P13S107525-879942834-124147</Description>
    </_dlc_DocIdUrl>
    <IconOverlay xmlns="http://schemas.microsoft.com/sharepoint/v4" xsi:nil="true"/>
    <ILMItemType xmlns="407b8de0-4b13-43ab-8c44-b4b11823492c">ConceptualItem</ILMItemType>
    <Revisions xmlns="407b8de0-4b13-43ab-8c44-b4b11823492c">
      <Url xsi:nil="true"/>
      <Description xsi:nil="true"/>
    </Revisions>
    <ILMCreationRevision xmlns="407b8de0-4b13-43ab-8c44-b4b11823492c">false</ILMCreationRevision>
    <IlmBasedOn xmlns="407b8de0-4b13-43ab-8c44-b4b11823492c" xsi:nil="true"/>
    <LockedStatus xmlns="407b8de0-4b13-43ab-8c44-b4b11823492c">Unlocked</LockedStatus>
    <Conversation-Topic xmlns="bca0bc44-19d1-4824-98a4-321de56310bf" xsi:nil="true"/>
    <Received xmlns="bca0bc44-19d1-4824-98a4-321de56310bf" xsi:nil="true"/>
    <Importance xmlns="bca0bc44-19d1-4824-98a4-321de56310bf" xsi:nil="true"/>
    <MessageClass xmlns="bca0bc44-19d1-4824-98a4-321de56310bf" xsi:nil="true"/>
    <Conversation-Index xmlns="bca0bc44-19d1-4824-98a4-321de56310bf" xsi:nil="true"/>
    <Bcc xmlns="bca0bc44-19d1-4824-98a4-321de56310bf" xsi:nil="true"/>
    <Sensitivity xmlns="bca0bc44-19d1-4824-98a4-321de56310bf" xsi:nil="true"/>
    <To xmlns="bca0bc44-19d1-4824-98a4-321de56310bf" xsi:nil="true"/>
    <Reply-To xmlns="bca0bc44-19d1-4824-98a4-321de56310bf" xsi:nil="true"/>
    <In-Reply-To xmlns="bca0bc44-19d1-4824-98a4-321de56310bf" xsi:nil="true"/>
    <MailPreviewData xmlns="bca0bc44-19d1-4824-98a4-321de56310bf" xsi:nil="true"/>
    <Date1 xmlns="bca0bc44-19d1-4824-98a4-321de56310bf" xsi:nil="true"/>
    <Attachment xmlns="bca0bc44-19d1-4824-98a4-321de56310bf">true</Attachment>
    <References xmlns="bca0bc44-19d1-4824-98a4-321de56310bf" xsi:nil="true"/>
    <Cc xmlns="bca0bc44-19d1-4824-98a4-321de56310bf" xsi:nil="true"/>
    <Message-ID xmlns="bca0bc44-19d1-4824-98a4-321de56310bf" xsi:nil="true"/>
    <OriginalSubject xmlns="bca0bc44-19d1-4824-98a4-321de56310bf" xsi:nil="true"/>
    <From1 xmlns="bca0bc44-19d1-4824-98a4-321de56310bf" xsi:nil="true"/>
    <_vti_ItemHoldRecordStatus xmlns="http://schemas.microsoft.com/sharepoint/v3" xsi:nil="true"/>
    <_vti_ItemDeclaredRecord xmlns="http://schemas.microsoft.com/sharepoint/v3" xsi:nil="true"/>
    <LockedBy xmlns="407b8de0-4b13-43ab-8c44-b4b11823492c">
      <UserInfo>
        <DisplayName/>
        <AccountId xsi:nil="true"/>
        <AccountType/>
      </UserInfo>
    </LockedBy>
    <RB_DMS_MIG_HISTORY_FILE_GUI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948C587-C412-4F30-BD6D-80C1AB17881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25B51C0-32BD-444F-8AB9-6E49BCE414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07b8de0-4b13-43ab-8c44-b4b11823492c"/>
    <ds:schemaRef ds:uri="http://schemas.microsoft.com/sharepoint/v4"/>
    <ds:schemaRef ds:uri="bca0bc44-19d1-4824-98a4-321de56310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B0D37A-9F23-4BD0-B5D3-9D52EADE23A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878C872-204C-42C4-B429-62534F1A7A73}">
  <ds:schemaRefs>
    <ds:schemaRef ds:uri="http://schemas.microsoft.com/office/2006/metadata/properties"/>
    <ds:schemaRef ds:uri="http://schemas.microsoft.com/office/infopath/2007/PartnerControls"/>
    <ds:schemaRef ds:uri="407b8de0-4b13-43ab-8c44-b4b11823492c"/>
    <ds:schemaRef ds:uri="http://schemas.microsoft.com/sharepoint/v3"/>
    <ds:schemaRef ds:uri="http://schemas.microsoft.com/sharepoint/v4"/>
    <ds:schemaRef ds:uri="bca0bc44-19d1-4824-98a4-321de56310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Changed history</vt:lpstr>
      <vt:lpstr>MP1</vt:lpstr>
      <vt:lpstr>MPx Instruction</vt:lpstr>
      <vt:lpstr>old MPx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setup</dc:creator>
  <cp:lastModifiedBy>FIXED-TERM Poon Joshua (PS/EHO1)</cp:lastModifiedBy>
  <dcterms:created xsi:type="dcterms:W3CDTF">2013-10-28T09:20:48Z</dcterms:created>
  <dcterms:modified xsi:type="dcterms:W3CDTF">2025-01-07T08:01:39Z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0x01010093D7B59D7D35844FBFBD16AF1106F1D601007F5C3887DF20394195CF089FFBCECC4C</vt:lpwstr>
  </property>
  <property fmtid="{D5CDD505-2E9C-101B-9397-08002B2CF9AE}" pid="3" name="_dlc_DocIdItemGuid">
    <vt:lpwstr>5ac7bc3a-2fb0-4915-8892-aa7a9178c63c</vt:lpwstr>
  </property>
  <property fmtid="{D5CDD505-2E9C-101B-9397-08002B2CF9AE}" pid="4" name="DMSKeywords">
    <vt:lpwstr/>
  </property>
  <property fmtid="{D5CDD505-2E9C-101B-9397-08002B2CF9AE}" pid="5" name="ecm_ItemDeleteBlockHolders">
    <vt:lpwstr/>
  </property>
  <property fmtid="{D5CDD505-2E9C-101B-9397-08002B2CF9AE}" pid="6" name="ecm_RecordRestrictions">
    <vt:lpwstr/>
  </property>
  <property fmtid="{D5CDD505-2E9C-101B-9397-08002B2CF9AE}" pid="7" name="ecm_ItemLockHolders">
    <vt:lpwstr/>
  </property>
  <property fmtid="{D5CDD505-2E9C-101B-9397-08002B2CF9AE}" pid="8" name="ILMRevision">
    <vt:lpwstr/>
  </property>
  <property fmtid="{D5CDD505-2E9C-101B-9397-08002B2CF9AE}" pid="9" name="ConceptualVersion">
    <vt:lpwstr/>
  </property>
  <property fmtid="{D5CDD505-2E9C-101B-9397-08002B2CF9AE}" pid="10" name="ConceptualVersionTreeview">
    <vt:lpwstr/>
  </property>
  <property fmtid="{D5CDD505-2E9C-101B-9397-08002B2CF9AE}" pid="11" name="ILMComments">
    <vt:lpwstr/>
  </property>
  <property fmtid="{D5CDD505-2E9C-101B-9397-08002B2CF9AE}" pid="12" name="ILMExternalReference">
    <vt:lpwstr/>
  </property>
  <property fmtid="{D5CDD505-2E9C-101B-9397-08002B2CF9AE}" pid="13" name="DocIdOfLinkItem">
    <vt:lpwstr/>
  </property>
  <property fmtid="{D5CDD505-2E9C-101B-9397-08002B2CF9AE}" pid="14" name="CustomUiType">
    <vt:lpwstr>2</vt:lpwstr>
  </property>
</Properties>
</file>